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sis\Downloads\"/>
    </mc:Choice>
  </mc:AlternateContent>
  <xr:revisionPtr revIDLastSave="0" documentId="8_{6D339809-5710-4BD9-A32F-14D1D45FF95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uestion 3" sheetId="10" r:id="rId1"/>
    <sheet name="Sales" sheetId="1" r:id="rId2"/>
    <sheet name="Projects" sheetId="7" r:id="rId3"/>
  </sheets>
  <definedNames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Projects!$E$11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pivotCaches>
    <pivotCache cacheId="8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1" l="1"/>
  <c r="S23" i="1"/>
  <c r="P23" i="1"/>
  <c r="Q23" i="1"/>
  <c r="O23" i="1"/>
  <c r="N23" i="1"/>
  <c r="M23" i="1"/>
  <c r="E5" i="7"/>
  <c r="E2" i="7"/>
  <c r="E3" i="7"/>
  <c r="E4" i="7"/>
  <c r="E6" i="7"/>
  <c r="E7" i="7"/>
  <c r="E8" i="7"/>
  <c r="E9" i="7"/>
  <c r="E10" i="7"/>
  <c r="G2" i="1"/>
  <c r="I2" i="1" s="1" a="1"/>
  <c r="I2" i="1" s="1"/>
  <c r="N5" i="1"/>
  <c r="N3" i="1"/>
  <c r="G3" i="1"/>
  <c r="J3" i="1" s="1" a="1"/>
  <c r="J3" i="1" s="1"/>
  <c r="G4" i="1"/>
  <c r="J4" i="1" s="1" a="1"/>
  <c r="J4" i="1" s="1"/>
  <c r="G5" i="1"/>
  <c r="N1" i="1" s="1"/>
  <c r="G6" i="1"/>
  <c r="J6" i="1" s="1" a="1"/>
  <c r="J6" i="1" s="1"/>
  <c r="G7" i="1"/>
  <c r="J7" i="1" s="1" a="1"/>
  <c r="J7" i="1" s="1"/>
  <c r="G8" i="1"/>
  <c r="G9" i="1"/>
  <c r="J9" i="1" s="1" a="1"/>
  <c r="J9" i="1" s="1"/>
  <c r="G10" i="1"/>
  <c r="J10" i="1" s="1" a="1"/>
  <c r="J10" i="1" s="1"/>
  <c r="G11" i="1"/>
  <c r="J11" i="1" s="1" a="1"/>
  <c r="J11" i="1" s="1"/>
  <c r="G12" i="1"/>
  <c r="J12" i="1" s="1" a="1"/>
  <c r="J12" i="1" s="1"/>
  <c r="G13" i="1"/>
  <c r="J13" i="1" s="1" a="1"/>
  <c r="J13" i="1" s="1"/>
  <c r="G14" i="1"/>
  <c r="J14" i="1" s="1" a="1"/>
  <c r="J14" i="1" s="1"/>
  <c r="G15" i="1"/>
  <c r="J15" i="1" s="1" a="1"/>
  <c r="J15" i="1" s="1"/>
  <c r="G16" i="1"/>
  <c r="J16" i="1" s="1" a="1"/>
  <c r="J16" i="1" s="1"/>
  <c r="G17" i="1"/>
  <c r="J17" i="1" s="1" a="1"/>
  <c r="J17" i="1" s="1"/>
  <c r="G18" i="1"/>
  <c r="J18" i="1" s="1" a="1"/>
  <c r="J18" i="1" s="1"/>
  <c r="G19" i="1"/>
  <c r="J19" i="1" s="1" a="1"/>
  <c r="J19" i="1" s="1"/>
  <c r="G20" i="1"/>
  <c r="J20" i="1" s="1" a="1"/>
  <c r="J20" i="1" s="1"/>
  <c r="G21" i="1"/>
  <c r="I21" i="1" s="1" a="1"/>
  <c r="I21" i="1" s="1"/>
  <c r="G22" i="1"/>
  <c r="J22" i="1" s="1" a="1"/>
  <c r="J22" i="1" s="1"/>
  <c r="G23" i="1"/>
  <c r="J23" i="1" s="1" a="1"/>
  <c r="J23" i="1" s="1"/>
  <c r="G24" i="1"/>
  <c r="J24" i="1" s="1" a="1"/>
  <c r="J24" i="1" s="1"/>
  <c r="G25" i="1"/>
  <c r="J25" i="1" s="1" a="1"/>
  <c r="J25" i="1" s="1"/>
  <c r="G26" i="1"/>
  <c r="J26" i="1" s="1" a="1"/>
  <c r="J26" i="1" s="1"/>
  <c r="G27" i="1"/>
  <c r="J27" i="1" s="1" a="1"/>
  <c r="J27" i="1" s="1"/>
  <c r="G28" i="1"/>
  <c r="J28" i="1" s="1" a="1"/>
  <c r="J28" i="1" s="1"/>
  <c r="G29" i="1"/>
  <c r="J29" i="1" s="1" a="1"/>
  <c r="J29" i="1" s="1"/>
  <c r="G30" i="1"/>
  <c r="J30" i="1" s="1" a="1"/>
  <c r="J30" i="1" s="1"/>
  <c r="G31" i="1"/>
  <c r="J31" i="1" s="1" a="1"/>
  <c r="J31" i="1" s="1"/>
  <c r="G32" i="1"/>
  <c r="J32" i="1" s="1" a="1"/>
  <c r="J32" i="1" s="1"/>
  <c r="G33" i="1"/>
  <c r="J33" i="1" s="1" a="1"/>
  <c r="J33" i="1" s="1"/>
  <c r="G34" i="1"/>
  <c r="G35" i="1"/>
  <c r="J35" i="1" s="1" a="1"/>
  <c r="J35" i="1" s="1"/>
  <c r="G36" i="1"/>
  <c r="J36" i="1" s="1" a="1"/>
  <c r="J36" i="1" s="1"/>
  <c r="G37" i="1"/>
  <c r="J37" i="1" s="1" a="1"/>
  <c r="J37" i="1" s="1"/>
  <c r="G38" i="1"/>
  <c r="J38" i="1" s="1" a="1"/>
  <c r="J38" i="1" s="1"/>
  <c r="G39" i="1"/>
  <c r="J39" i="1" s="1" a="1"/>
  <c r="J39" i="1" s="1"/>
  <c r="G40" i="1"/>
  <c r="G41" i="1"/>
  <c r="J41" i="1" s="1" a="1"/>
  <c r="J41" i="1" s="1"/>
  <c r="G42" i="1"/>
  <c r="J42" i="1" s="1" a="1"/>
  <c r="J42" i="1" s="1"/>
  <c r="G43" i="1"/>
  <c r="J43" i="1" s="1" a="1"/>
  <c r="J43" i="1" s="1"/>
  <c r="G44" i="1"/>
  <c r="J44" i="1" s="1" a="1"/>
  <c r="J44" i="1" s="1"/>
  <c r="G45" i="1"/>
  <c r="J45" i="1" s="1" a="1"/>
  <c r="J45" i="1" s="1"/>
  <c r="G46" i="1"/>
  <c r="J46" i="1" s="1" a="1"/>
  <c r="J46" i="1" s="1"/>
  <c r="G47" i="1"/>
  <c r="J47" i="1" s="1" a="1"/>
  <c r="J47" i="1" s="1"/>
  <c r="G48" i="1"/>
  <c r="J48" i="1" s="1" a="1"/>
  <c r="J48" i="1" s="1"/>
  <c r="G49" i="1"/>
  <c r="I48" i="1" s="1" a="1"/>
  <c r="I48" i="1" s="1"/>
  <c r="G50" i="1"/>
  <c r="J50" i="1" s="1" a="1"/>
  <c r="J50" i="1" s="1"/>
  <c r="G51" i="1"/>
  <c r="J51" i="1" s="1" a="1"/>
  <c r="J51" i="1" s="1"/>
  <c r="G52" i="1"/>
  <c r="J52" i="1" s="1" a="1"/>
  <c r="J52" i="1" s="1"/>
  <c r="G53" i="1"/>
  <c r="J53" i="1" s="1" a="1"/>
  <c r="J53" i="1" s="1"/>
  <c r="G54" i="1"/>
  <c r="J54" i="1" s="1" a="1"/>
  <c r="J54" i="1" s="1"/>
  <c r="G55" i="1"/>
  <c r="J55" i="1" s="1" a="1"/>
  <c r="J55" i="1" s="1"/>
  <c r="G56" i="1"/>
  <c r="J56" i="1" s="1" a="1"/>
  <c r="J56" i="1" s="1"/>
  <c r="G57" i="1"/>
  <c r="I56" i="1" s="1" a="1"/>
  <c r="I56" i="1" s="1"/>
  <c r="G58" i="1"/>
  <c r="J58" i="1" s="1" a="1"/>
  <c r="J58" i="1" s="1"/>
  <c r="G59" i="1"/>
  <c r="J59" i="1" s="1" a="1"/>
  <c r="J59" i="1" s="1"/>
  <c r="G60" i="1"/>
  <c r="J60" i="1" s="1" a="1"/>
  <c r="J60" i="1" s="1"/>
  <c r="G61" i="1"/>
  <c r="I61" i="1" s="1" a="1"/>
  <c r="I61" i="1" s="1"/>
  <c r="G62" i="1"/>
  <c r="J62" i="1" s="1" a="1"/>
  <c r="J62" i="1" s="1"/>
  <c r="G63" i="1"/>
  <c r="J63" i="1" s="1" a="1"/>
  <c r="J63" i="1" s="1"/>
  <c r="G64" i="1"/>
  <c r="J64" i="1" s="1" a="1"/>
  <c r="J64" i="1" s="1"/>
  <c r="G65" i="1"/>
  <c r="I62" i="1" s="1" a="1"/>
  <c r="I62" i="1" s="1"/>
  <c r="G66" i="1"/>
  <c r="G67" i="1"/>
  <c r="J67" i="1" s="1" a="1"/>
  <c r="J67" i="1" s="1"/>
  <c r="G68" i="1"/>
  <c r="J68" i="1" s="1" a="1"/>
  <c r="J68" i="1" s="1"/>
  <c r="G69" i="1"/>
  <c r="J69" i="1" s="1" a="1"/>
  <c r="J69" i="1" s="1"/>
  <c r="G70" i="1"/>
  <c r="J70" i="1" s="1" a="1"/>
  <c r="J70" i="1" s="1"/>
  <c r="G71" i="1"/>
  <c r="J71" i="1" s="1" a="1"/>
  <c r="J71" i="1" s="1"/>
  <c r="G72" i="1"/>
  <c r="G73" i="1"/>
  <c r="J73" i="1" s="1" a="1"/>
  <c r="J73" i="1" s="1"/>
  <c r="G74" i="1"/>
  <c r="J74" i="1" s="1" a="1"/>
  <c r="J74" i="1" s="1"/>
  <c r="G75" i="1"/>
  <c r="I74" i="1" s="1" a="1"/>
  <c r="I74" i="1" s="1"/>
  <c r="G76" i="1"/>
  <c r="J76" i="1" s="1" a="1"/>
  <c r="J76" i="1" s="1"/>
  <c r="G77" i="1"/>
  <c r="J77" i="1" s="1" a="1"/>
  <c r="J77" i="1" s="1"/>
  <c r="G78" i="1"/>
  <c r="J78" i="1" s="1" a="1"/>
  <c r="J78" i="1" s="1"/>
  <c r="G79" i="1"/>
  <c r="J79" i="1" s="1" a="1"/>
  <c r="J79" i="1" s="1"/>
  <c r="G80" i="1"/>
  <c r="J80" i="1" s="1" a="1"/>
  <c r="J80" i="1" s="1"/>
  <c r="G81" i="1"/>
  <c r="I80" i="1" s="1" a="1"/>
  <c r="I80" i="1" s="1"/>
  <c r="G82" i="1"/>
  <c r="J82" i="1" s="1" a="1"/>
  <c r="J82" i="1" s="1"/>
  <c r="G83" i="1"/>
  <c r="I82" i="1" s="1" a="1"/>
  <c r="I82" i="1" s="1"/>
  <c r="G84" i="1"/>
  <c r="J84" i="1" s="1" a="1"/>
  <c r="J84" i="1" s="1"/>
  <c r="G85" i="1"/>
  <c r="J85" i="1" s="1" a="1"/>
  <c r="J85" i="1" s="1"/>
  <c r="G86" i="1"/>
  <c r="J86" i="1" s="1" a="1"/>
  <c r="J86" i="1" s="1"/>
  <c r="G87" i="1"/>
  <c r="J87" i="1" s="1" a="1"/>
  <c r="J87" i="1" s="1"/>
  <c r="G88" i="1"/>
  <c r="J88" i="1" s="1" a="1"/>
  <c r="J88" i="1" s="1"/>
  <c r="G89" i="1"/>
  <c r="I85" i="1" s="1" a="1"/>
  <c r="I85" i="1" s="1"/>
  <c r="G90" i="1"/>
  <c r="J90" i="1" s="1" a="1"/>
  <c r="J90" i="1" s="1"/>
  <c r="G91" i="1"/>
  <c r="J91" i="1" s="1" a="1"/>
  <c r="J91" i="1" s="1"/>
  <c r="G92" i="1"/>
  <c r="J92" i="1" s="1" a="1"/>
  <c r="J92" i="1" s="1"/>
  <c r="G93" i="1"/>
  <c r="I93" i="1" s="1" a="1"/>
  <c r="I93" i="1" s="1"/>
  <c r="G94" i="1"/>
  <c r="J94" i="1" s="1" a="1"/>
  <c r="J94" i="1" s="1"/>
  <c r="G95" i="1"/>
  <c r="J95" i="1" s="1" a="1"/>
  <c r="J95" i="1" s="1"/>
  <c r="G96" i="1"/>
  <c r="J96" i="1" s="1" a="1"/>
  <c r="J96" i="1" s="1"/>
  <c r="G97" i="1"/>
  <c r="I94" i="1" s="1" a="1"/>
  <c r="I94" i="1" s="1"/>
  <c r="G98" i="1"/>
  <c r="G99" i="1"/>
  <c r="J99" i="1" s="1" a="1"/>
  <c r="J99" i="1" s="1"/>
  <c r="G100" i="1"/>
  <c r="J100" i="1" s="1" a="1"/>
  <c r="J100" i="1" s="1"/>
  <c r="G101" i="1"/>
  <c r="J101" i="1" s="1" a="1"/>
  <c r="J101" i="1" s="1"/>
  <c r="G102" i="1"/>
  <c r="J102" i="1" s="1" a="1"/>
  <c r="J102" i="1" s="1"/>
  <c r="G103" i="1"/>
  <c r="J103" i="1" s="1" a="1"/>
  <c r="J103" i="1" s="1"/>
  <c r="G104" i="1"/>
  <c r="G105" i="1"/>
  <c r="J105" i="1" s="1" a="1"/>
  <c r="J105" i="1" s="1"/>
  <c r="I104" i="1" l="1" a="1"/>
  <c r="I104" i="1" s="1"/>
  <c r="I53" i="1" a="1"/>
  <c r="I53" i="1" s="1"/>
  <c r="I27" i="1" a="1"/>
  <c r="I27" i="1" s="1"/>
  <c r="J104" i="1" a="1"/>
  <c r="J104" i="1" s="1"/>
  <c r="J34" i="1" a="1"/>
  <c r="J34" i="1" s="1"/>
  <c r="J21" i="1" a="1"/>
  <c r="J21" i="1" s="1"/>
  <c r="I103" i="1" a="1"/>
  <c r="I103" i="1" s="1"/>
  <c r="I97" i="1" a="1"/>
  <c r="I97" i="1" s="1"/>
  <c r="I84" i="1" a="1"/>
  <c r="I84" i="1" s="1"/>
  <c r="I78" i="1" a="1"/>
  <c r="I78" i="1" s="1"/>
  <c r="I71" i="1" a="1"/>
  <c r="I71" i="1" s="1"/>
  <c r="I65" i="1" a="1"/>
  <c r="I65" i="1" s="1"/>
  <c r="I52" i="1" a="1"/>
  <c r="I52" i="1" s="1"/>
  <c r="I46" i="1" a="1"/>
  <c r="I46" i="1" s="1"/>
  <c r="I39" i="1" a="1"/>
  <c r="I39" i="1" s="1"/>
  <c r="I33" i="1" a="1"/>
  <c r="I33" i="1" s="1"/>
  <c r="I20" i="1" a="1"/>
  <c r="I20" i="1" s="1"/>
  <c r="I14" i="1" a="1"/>
  <c r="I14" i="1" s="1"/>
  <c r="I7" i="1" a="1"/>
  <c r="I7" i="1" s="1"/>
  <c r="J97" i="1" a="1"/>
  <c r="J97" i="1" s="1"/>
  <c r="J65" i="1" a="1"/>
  <c r="J65" i="1" s="1"/>
  <c r="N6" i="1"/>
  <c r="I59" i="1" a="1"/>
  <c r="I59" i="1" s="1"/>
  <c r="I34" i="1" a="1"/>
  <c r="I34" i="1" s="1"/>
  <c r="I8" i="1" a="1"/>
  <c r="I8" i="1" s="1"/>
  <c r="J66" i="1" a="1"/>
  <c r="J66" i="1" s="1"/>
  <c r="J40" i="1" a="1"/>
  <c r="J40" i="1" s="1"/>
  <c r="J8" i="1" a="1"/>
  <c r="J8" i="1" s="1"/>
  <c r="I96" i="1" a="1"/>
  <c r="I96" i="1" s="1"/>
  <c r="I90" i="1" a="1"/>
  <c r="I90" i="1" s="1"/>
  <c r="I83" i="1" a="1"/>
  <c r="I83" i="1" s="1"/>
  <c r="I77" i="1" a="1"/>
  <c r="I77" i="1" s="1"/>
  <c r="I64" i="1" a="1"/>
  <c r="I64" i="1" s="1"/>
  <c r="I58" i="1" a="1"/>
  <c r="I58" i="1" s="1"/>
  <c r="I51" i="1" a="1"/>
  <c r="I51" i="1" s="1"/>
  <c r="I45" i="1" a="1"/>
  <c r="I45" i="1" s="1"/>
  <c r="I32" i="1" a="1"/>
  <c r="I32" i="1" s="1"/>
  <c r="I26" i="1" a="1"/>
  <c r="I26" i="1" s="1"/>
  <c r="I19" i="1" a="1"/>
  <c r="I19" i="1" s="1"/>
  <c r="I13" i="1" a="1"/>
  <c r="I13" i="1" s="1"/>
  <c r="J83" i="1" a="1"/>
  <c r="J83" i="1" s="1"/>
  <c r="I91" i="1" a="1"/>
  <c r="I91" i="1" s="1"/>
  <c r="I40" i="1" a="1"/>
  <c r="I40" i="1" s="1"/>
  <c r="J98" i="1" a="1"/>
  <c r="J98" i="1" s="1"/>
  <c r="J72" i="1" a="1"/>
  <c r="J72" i="1" s="1"/>
  <c r="I102" i="1" a="1"/>
  <c r="I102" i="1" s="1"/>
  <c r="I95" i="1" a="1"/>
  <c r="I95" i="1" s="1"/>
  <c r="I89" i="1" a="1"/>
  <c r="I89" i="1" s="1"/>
  <c r="I76" i="1" a="1"/>
  <c r="I76" i="1" s="1"/>
  <c r="I70" i="1" a="1"/>
  <c r="I70" i="1" s="1"/>
  <c r="I63" i="1" a="1"/>
  <c r="I63" i="1" s="1"/>
  <c r="I57" i="1" a="1"/>
  <c r="I57" i="1" s="1"/>
  <c r="I44" i="1" a="1"/>
  <c r="I44" i="1" s="1"/>
  <c r="I38" i="1" a="1"/>
  <c r="I38" i="1" s="1"/>
  <c r="I31" i="1" a="1"/>
  <c r="I31" i="1" s="1"/>
  <c r="I25" i="1" a="1"/>
  <c r="I25" i="1" s="1"/>
  <c r="I12" i="1" a="1"/>
  <c r="I12" i="1" s="1"/>
  <c r="I6" i="1" a="1"/>
  <c r="I6" i="1" s="1"/>
  <c r="J89" i="1" a="1"/>
  <c r="J89" i="1" s="1"/>
  <c r="J57" i="1" a="1"/>
  <c r="J57" i="1" s="1"/>
  <c r="I72" i="1" a="1"/>
  <c r="I72" i="1" s="1"/>
  <c r="I101" i="1" a="1"/>
  <c r="I101" i="1" s="1"/>
  <c r="I88" i="1" a="1"/>
  <c r="I88" i="1" s="1"/>
  <c r="I75" i="1" a="1"/>
  <c r="I75" i="1" s="1"/>
  <c r="I69" i="1" a="1"/>
  <c r="I69" i="1" s="1"/>
  <c r="I50" i="1" a="1"/>
  <c r="I50" i="1" s="1"/>
  <c r="I43" i="1" a="1"/>
  <c r="I43" i="1" s="1"/>
  <c r="I37" i="1" a="1"/>
  <c r="I37" i="1" s="1"/>
  <c r="I24" i="1" a="1"/>
  <c r="I24" i="1" s="1"/>
  <c r="I18" i="1" a="1"/>
  <c r="I18" i="1" s="1"/>
  <c r="I11" i="1" a="1"/>
  <c r="I11" i="1" s="1"/>
  <c r="I5" i="1" a="1"/>
  <c r="I5" i="1" s="1"/>
  <c r="J75" i="1" a="1"/>
  <c r="J75" i="1" s="1"/>
  <c r="J5" i="1" a="1"/>
  <c r="J5" i="1" s="1"/>
  <c r="I98" i="1" a="1"/>
  <c r="I98" i="1" s="1"/>
  <c r="I100" i="1" a="1"/>
  <c r="I100" i="1" s="1"/>
  <c r="I87" i="1" a="1"/>
  <c r="I87" i="1" s="1"/>
  <c r="I81" i="1" a="1"/>
  <c r="I81" i="1" s="1"/>
  <c r="I68" i="1" a="1"/>
  <c r="I68" i="1" s="1"/>
  <c r="I55" i="1" a="1"/>
  <c r="I55" i="1" s="1"/>
  <c r="I49" i="1" a="1"/>
  <c r="I49" i="1" s="1"/>
  <c r="I36" i="1" a="1"/>
  <c r="I36" i="1" s="1"/>
  <c r="I30" i="1" a="1"/>
  <c r="I30" i="1" s="1"/>
  <c r="I23" i="1" a="1"/>
  <c r="I23" i="1" s="1"/>
  <c r="I17" i="1" a="1"/>
  <c r="I17" i="1" s="1"/>
  <c r="I4" i="1" a="1"/>
  <c r="I4" i="1" s="1"/>
  <c r="J81" i="1" a="1"/>
  <c r="J81" i="1" s="1"/>
  <c r="J49" i="1" a="1"/>
  <c r="J49" i="1" s="1"/>
  <c r="I99" i="1" a="1"/>
  <c r="I99" i="1" s="1"/>
  <c r="I67" i="1" a="1"/>
  <c r="I67" i="1" s="1"/>
  <c r="I42" i="1" a="1"/>
  <c r="I42" i="1" s="1"/>
  <c r="I35" i="1" a="1"/>
  <c r="I35" i="1" s="1"/>
  <c r="I29" i="1" a="1"/>
  <c r="I29" i="1" s="1"/>
  <c r="I16" i="1" a="1"/>
  <c r="I16" i="1" s="1"/>
  <c r="I10" i="1" a="1"/>
  <c r="I10" i="1" s="1"/>
  <c r="I3" i="1" a="1"/>
  <c r="I3" i="1" s="1"/>
  <c r="J93" i="1" a="1"/>
  <c r="J93" i="1" s="1"/>
  <c r="J61" i="1" a="1"/>
  <c r="J61" i="1" s="1"/>
  <c r="I66" i="1" a="1"/>
  <c r="I66" i="1" s="1"/>
  <c r="I105" i="1" a="1"/>
  <c r="I105" i="1" s="1"/>
  <c r="I92" i="1" a="1"/>
  <c r="I92" i="1" s="1"/>
  <c r="I86" i="1" a="1"/>
  <c r="I86" i="1" s="1"/>
  <c r="I79" i="1" a="1"/>
  <c r="I79" i="1" s="1"/>
  <c r="I73" i="1" a="1"/>
  <c r="I73" i="1" s="1"/>
  <c r="I60" i="1" a="1"/>
  <c r="I60" i="1" s="1"/>
  <c r="I54" i="1" a="1"/>
  <c r="I54" i="1" s="1"/>
  <c r="I47" i="1" a="1"/>
  <c r="I47" i="1" s="1"/>
  <c r="I41" i="1" a="1"/>
  <c r="I41" i="1" s="1"/>
  <c r="I28" i="1" a="1"/>
  <c r="I28" i="1" s="1"/>
  <c r="I22" i="1" a="1"/>
  <c r="I22" i="1" s="1"/>
  <c r="I15" i="1" a="1"/>
  <c r="I15" i="1" s="1"/>
  <c r="I9" i="1" a="1"/>
  <c r="I9" i="1" s="1"/>
  <c r="E11" i="7"/>
  <c r="J2" i="1" a="1"/>
  <c r="J2" i="1" s="1"/>
  <c r="K2" i="1" s="1" a="1"/>
  <c r="K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<sst xmlns="http://schemas.openxmlformats.org/spreadsheetml/2006/main" count="261" uniqueCount="148">
  <si>
    <t>Quantity</t>
  </si>
  <si>
    <t>Customer_ID</t>
  </si>
  <si>
    <t>Customer_Name</t>
  </si>
  <si>
    <t>Product_ID</t>
  </si>
  <si>
    <t>Date_ID</t>
  </si>
  <si>
    <t>JH</t>
  </si>
  <si>
    <t>LT</t>
  </si>
  <si>
    <t>CT</t>
  </si>
  <si>
    <t>NP</t>
  </si>
  <si>
    <t>DB</t>
  </si>
  <si>
    <t>PT</t>
  </si>
  <si>
    <t>PE</t>
  </si>
  <si>
    <t>MK</t>
  </si>
  <si>
    <t>PL</t>
  </si>
  <si>
    <t>EL</t>
  </si>
  <si>
    <t>NW</t>
  </si>
  <si>
    <t>BF</t>
  </si>
  <si>
    <t>City_Code</t>
  </si>
  <si>
    <t>Sales</t>
  </si>
  <si>
    <t>Product_Price</t>
  </si>
  <si>
    <t>Andile</t>
  </si>
  <si>
    <t>Belinda</t>
  </si>
  <si>
    <t>Cathy</t>
  </si>
  <si>
    <t>Dylan</t>
  </si>
  <si>
    <t>Emery</t>
  </si>
  <si>
    <t>Fatima</t>
  </si>
  <si>
    <t>Gaily</t>
  </si>
  <si>
    <t>Hlope</t>
  </si>
  <si>
    <t>Imran</t>
  </si>
  <si>
    <t>Julia</t>
  </si>
  <si>
    <t>Kuda</t>
  </si>
  <si>
    <t>Lynn</t>
  </si>
  <si>
    <t>Mlungisi</t>
  </si>
  <si>
    <t>Ngubane</t>
  </si>
  <si>
    <t>Otilia</t>
  </si>
  <si>
    <t>Pete</t>
  </si>
  <si>
    <t>Qobani</t>
  </si>
  <si>
    <t>Ramapula</t>
  </si>
  <si>
    <t>Sue</t>
  </si>
  <si>
    <t>Teclar</t>
  </si>
  <si>
    <t>Ulendo</t>
  </si>
  <si>
    <t>Vivian</t>
  </si>
  <si>
    <t>Welly</t>
  </si>
  <si>
    <t>Xolani</t>
  </si>
  <si>
    <t>Yvette</t>
  </si>
  <si>
    <t>Zama</t>
  </si>
  <si>
    <t>Aaron</t>
  </si>
  <si>
    <t>Brooke</t>
  </si>
  <si>
    <t>Cain</t>
  </si>
  <si>
    <t>Dre</t>
  </si>
  <si>
    <t>Ethan</t>
  </si>
  <si>
    <t>Florence</t>
  </si>
  <si>
    <t>Gilian</t>
  </si>
  <si>
    <t>Humbulani</t>
  </si>
  <si>
    <t>Ian</t>
  </si>
  <si>
    <t>Jacob</t>
  </si>
  <si>
    <t>Khosi</t>
  </si>
  <si>
    <t>Lulu</t>
  </si>
  <si>
    <t>Mercy</t>
  </si>
  <si>
    <t>Nhlakanipho</t>
  </si>
  <si>
    <t>Obrey</t>
  </si>
  <si>
    <t>Phule</t>
  </si>
  <si>
    <t>Qulu</t>
  </si>
  <si>
    <t>Reitumetse</t>
  </si>
  <si>
    <t>Slindelo</t>
  </si>
  <si>
    <t>Thulani</t>
  </si>
  <si>
    <t>Uria</t>
  </si>
  <si>
    <t>Valarie</t>
  </si>
  <si>
    <t>Wandiswa</t>
  </si>
  <si>
    <t>Xolele</t>
  </si>
  <si>
    <t>Yvonne</t>
  </si>
  <si>
    <t>Zime</t>
  </si>
  <si>
    <t>Allan</t>
  </si>
  <si>
    <t>Bulelani</t>
  </si>
  <si>
    <t>Cele</t>
  </si>
  <si>
    <t>Debra</t>
  </si>
  <si>
    <t>Ellen</t>
  </si>
  <si>
    <t>Felix</t>
  </si>
  <si>
    <t>George</t>
  </si>
  <si>
    <t>Holomisa</t>
  </si>
  <si>
    <t>Ingrid</t>
  </si>
  <si>
    <t>Jason</t>
  </si>
  <si>
    <t>Khumbulani</t>
  </si>
  <si>
    <t>Lindelani</t>
  </si>
  <si>
    <t>Mabaso</t>
  </si>
  <si>
    <t>Nqubani</t>
  </si>
  <si>
    <t>Onke</t>
  </si>
  <si>
    <t>Precious</t>
  </si>
  <si>
    <t>Qwabe</t>
  </si>
  <si>
    <t>Rulani</t>
  </si>
  <si>
    <t>Simbongile</t>
  </si>
  <si>
    <t>Themba</t>
  </si>
  <si>
    <t>Urthar</t>
  </si>
  <si>
    <t>Vusimusi</t>
  </si>
  <si>
    <t>Wandile</t>
  </si>
  <si>
    <t>Xolisi</t>
  </si>
  <si>
    <t>Yolanda</t>
  </si>
  <si>
    <t>Zinhle</t>
  </si>
  <si>
    <t>Asanda</t>
  </si>
  <si>
    <t>Bhekie</t>
  </si>
  <si>
    <t>Cumani</t>
  </si>
  <si>
    <t>Dennis</t>
  </si>
  <si>
    <t>Emma</t>
  </si>
  <si>
    <t>Fiona</t>
  </si>
  <si>
    <t>Garry</t>
  </si>
  <si>
    <t>Hlalulile</t>
  </si>
  <si>
    <t>Indie</t>
  </si>
  <si>
    <t>Juliana</t>
  </si>
  <si>
    <t>Kheswa</t>
  </si>
  <si>
    <t>Lindokuhle</t>
  </si>
  <si>
    <t>Mandla</t>
  </si>
  <si>
    <t>Oscar</t>
  </si>
  <si>
    <t>Peters</t>
  </si>
  <si>
    <t>Qalani</t>
  </si>
  <si>
    <t>Respina</t>
  </si>
  <si>
    <t>Shozi</t>
  </si>
  <si>
    <t>Thembalami</t>
  </si>
  <si>
    <t>Usofia</t>
  </si>
  <si>
    <t>Vhutshilo</t>
  </si>
  <si>
    <t>Wendy</t>
  </si>
  <si>
    <t>Xulu</t>
  </si>
  <si>
    <t>Yolandie</t>
  </si>
  <si>
    <t>Zuma</t>
  </si>
  <si>
    <t>Customer Record</t>
  </si>
  <si>
    <t>Profit</t>
  </si>
  <si>
    <t>Profit Category</t>
  </si>
  <si>
    <t>Fixed cost</t>
  </si>
  <si>
    <t>`</t>
  </si>
  <si>
    <t>Selected Customer_ID:</t>
  </si>
  <si>
    <t>Total Sales for Product ID 13:</t>
  </si>
  <si>
    <t>Total Number of Products Sold:</t>
  </si>
  <si>
    <t>Total Cost</t>
  </si>
  <si>
    <t>Cost</t>
  </si>
  <si>
    <t>Overall Total Sales for the 3rd Lowest Product Price:</t>
  </si>
  <si>
    <t>City Code</t>
  </si>
  <si>
    <t>Poject name</t>
  </si>
  <si>
    <t>Poduction cost</t>
  </si>
  <si>
    <t>Exta costs</t>
  </si>
  <si>
    <t>Poject A</t>
  </si>
  <si>
    <t>Poject B</t>
  </si>
  <si>
    <t>Poject C</t>
  </si>
  <si>
    <t>Poject D</t>
  </si>
  <si>
    <t>Poject E</t>
  </si>
  <si>
    <t>Poject F</t>
  </si>
  <si>
    <t>Poject G</t>
  </si>
  <si>
    <t>Poject H</t>
  </si>
  <si>
    <t>Poject I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</si>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</sst>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-1C09]* #,##0.00_-;\-[$R-1C09]* #,##0.00_-;_-[$R-1C09]* &quot;-&quot;??_-;_-@_-"/>
    <numFmt numFmtId="165" formatCode="&quot;R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2" borderId="2" xfId="0" applyFill="1" applyBorder="1"/>
    <xf numFmtId="0" fontId="1" fillId="0" borderId="2" xfId="0" applyFont="1" applyBorder="1" applyAlignment="1">
      <alignment horizontal="left"/>
    </xf>
    <xf numFmtId="0" fontId="0" fillId="2" borderId="7" xfId="0" applyFill="1" applyBorder="1"/>
    <xf numFmtId="164" fontId="0" fillId="2" borderId="1" xfId="0" applyNumberFormat="1" applyFill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3" fillId="3" borderId="0" xfId="0" applyFont="1" applyFill="1"/>
    <xf numFmtId="0" fontId="4" fillId="0" borderId="0" xfId="0" applyFont="1"/>
    <xf numFmtId="165" fontId="4" fillId="0" borderId="0" xfId="0" applyNumberFormat="1" applyFont="1"/>
    <xf numFmtId="165" fontId="4" fillId="3" borderId="4" xfId="0" applyNumberFormat="1" applyFont="1" applyFill="1" applyBorder="1"/>
    <xf numFmtId="0" fontId="4" fillId="0" borderId="3" xfId="0" applyFont="1" applyBorder="1"/>
    <xf numFmtId="165" fontId="4" fillId="0" borderId="3" xfId="0" applyNumberFormat="1" applyFont="1" applyBorder="1"/>
    <xf numFmtId="3" fontId="4" fillId="0" borderId="0" xfId="0" applyNumberFormat="1" applyFont="1"/>
    <xf numFmtId="3" fontId="3" fillId="0" borderId="5" xfId="0" applyNumberFormat="1" applyFont="1" applyBorder="1"/>
    <xf numFmtId="0" fontId="2" fillId="0" borderId="3" xfId="0" applyFon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0" fillId="0" borderId="0" xfId="0" applyNumberFormat="1"/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[TSHWANELO MABOTE.xlsx]Question 3!PivotTable64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Distribution Of Sales Per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3'!$B$3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'Question 3'!$A$4:$A$15</c:f>
              <c:strCache>
                <c:ptCount val="12"/>
                <c:pt idx="0">
                  <c:v>BF</c:v>
                </c:pt>
                <c:pt idx="1">
                  <c:v>CT</c:v>
                </c:pt>
                <c:pt idx="2">
                  <c:v>DB</c:v>
                </c:pt>
                <c:pt idx="3">
                  <c:v>EL</c:v>
                </c:pt>
                <c:pt idx="4">
                  <c:v>JH</c:v>
                </c:pt>
                <c:pt idx="5">
                  <c:v>LT</c:v>
                </c:pt>
                <c:pt idx="6">
                  <c:v>MK</c:v>
                </c:pt>
                <c:pt idx="7">
                  <c:v>NP</c:v>
                </c:pt>
                <c:pt idx="8">
                  <c:v>NW</c:v>
                </c:pt>
                <c:pt idx="9">
                  <c:v>PE</c:v>
                </c:pt>
                <c:pt idx="10">
                  <c:v>PL</c:v>
                </c:pt>
                <c:pt idx="11">
                  <c:v>PT</c:v>
                </c:pt>
              </c:strCache>
            </c:strRef>
          </c:cat>
          <c:val>
            <c:numRef>
              <c:f>'Question 3'!$B$4:$B$15</c:f>
              <c:numCache>
                <c:formatCode>_-[$R-1C09]* #\ ##0.00_-;\-[$R-1C09]* #\ ##0.00_-;_-[$R-1C09]* "-"??_-;_-@_-</c:formatCode>
                <c:ptCount val="12"/>
                <c:pt idx="0">
                  <c:v>3523600</c:v>
                </c:pt>
                <c:pt idx="1">
                  <c:v>11899200</c:v>
                </c:pt>
                <c:pt idx="2">
                  <c:v>2770200</c:v>
                </c:pt>
                <c:pt idx="3">
                  <c:v>11532800</c:v>
                </c:pt>
                <c:pt idx="4">
                  <c:v>13819330</c:v>
                </c:pt>
                <c:pt idx="5">
                  <c:v>20609460</c:v>
                </c:pt>
                <c:pt idx="6">
                  <c:v>6337440</c:v>
                </c:pt>
                <c:pt idx="7">
                  <c:v>8172800</c:v>
                </c:pt>
                <c:pt idx="8">
                  <c:v>330330</c:v>
                </c:pt>
                <c:pt idx="9">
                  <c:v>1645000</c:v>
                </c:pt>
                <c:pt idx="10">
                  <c:v>407440</c:v>
                </c:pt>
                <c:pt idx="11">
                  <c:v>252000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9-4355-A019-E6A567394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50673024"/>
        <c:axId val="1350668704"/>
      </c:barChart>
      <c:catAx>
        <c:axId val="13506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668704"/>
        <c:crosses val="autoZero"/>
        <c:auto val="1"/>
        <c:lblAlgn val="ctr"/>
        <c:lblOffset val="100"/>
        <c:noMultiLvlLbl val="0"/>
      </c:catAx>
      <c:valAx>
        <c:axId val="135066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\ ##0.00_-;\-[$R-1C09]* #\ 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67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2</xdr:row>
      <xdr:rowOff>160020</xdr:rowOff>
    </xdr:from>
    <xdr:to>
      <xdr:col>16</xdr:col>
      <xdr:colOff>304800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770EF2-142D-54A5-9AD0-6AB057A94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Assessment%20Workbook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sisa Nxumalo" refreshedDate="45894.453279629626" createdVersion="8" refreshedVersion="8" minRefreshableVersion="3" recordCount="104" xr:uid="{57BDE6AD-FC79-4869-B66E-7228B392E2AF}">
  <cacheSource type="worksheet">
    <worksheetSource ref="A1:J105" sheet="Sheet1" r:id="rId2"/>
  </cacheSource>
  <cacheFields count="10">
    <cacheField name="Customer_ID" numFmtId="0">
      <sharedItems containsSemiMixedTypes="0" containsString="0" containsNumber="1" containsInteger="1" minValue="101" maxValue="204"/>
    </cacheField>
    <cacheField name="Customer_Name" numFmtId="0">
      <sharedItems/>
    </cacheField>
    <cacheField name="City Code" numFmtId="0">
      <sharedItems count="12">
        <s v="JH"/>
        <s v="LT"/>
        <s v="CT"/>
        <s v="NP"/>
        <s v="DB"/>
        <s v="PT"/>
        <s v="PE"/>
        <s v="MK"/>
        <s v="PL"/>
        <s v="EL"/>
        <s v="NW"/>
        <s v="BF"/>
      </sharedItems>
    </cacheField>
    <cacheField name="Product_ID" numFmtId="0">
      <sharedItems containsSemiMixedTypes="0" containsString="0" containsNumber="1" containsInteger="1" minValue="10" maxValue="20"/>
    </cacheField>
    <cacheField name="Quantity" numFmtId="0">
      <sharedItems containsSemiMixedTypes="0" containsString="0" containsNumber="1" containsInteger="1" minValue="104" maxValue="965"/>
    </cacheField>
    <cacheField name="Product_Price" numFmtId="164">
      <sharedItems containsSemiMixedTypes="0" containsString="0" containsNumber="1" containsInteger="1" minValue="70" maxValue="6800"/>
    </cacheField>
    <cacheField name="Sales" numFmtId="164">
      <sharedItems containsSemiMixedTypes="0" containsString="0" containsNumber="1" containsInteger="1" minValue="13860" maxValue="3055800"/>
    </cacheField>
    <cacheField name="Date_ID" numFmtId="0">
      <sharedItems containsSemiMixedTypes="0" containsString="0" containsNumber="1" containsInteger="1" minValue="202201" maxValue="202312"/>
    </cacheField>
    <cacheField name="Total Cost" numFmtId="164">
      <sharedItems containsSemiMixedTypes="0" containsString="0" containsNumber="1" minValue="30153.9" maxValue="67478668"/>
    </cacheField>
    <cacheField name="Profit" numFmtId="164">
      <sharedItems containsSemiMixedTypes="0" containsString="0" containsNumber="1" minValue="6176.1" maxValue="13820931.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01"/>
    <s v="Andile"/>
    <x v="0"/>
    <n v="10"/>
    <n v="800"/>
    <n v="900"/>
    <n v="720000"/>
    <n v="202201"/>
    <n v="67478668"/>
    <n v="13820931.999999998"/>
  </r>
  <r>
    <n v="102"/>
    <s v="Belinda"/>
    <x v="1"/>
    <n v="11"/>
    <n v="104"/>
    <n v="1200"/>
    <n v="124800"/>
    <n v="202201"/>
    <n v="66881067.999999985"/>
    <n v="13698531.999999996"/>
  </r>
  <r>
    <n v="103"/>
    <s v="Cathy"/>
    <x v="2"/>
    <n v="12"/>
    <n v="300"/>
    <n v="6600"/>
    <n v="1980000"/>
    <n v="202201"/>
    <n v="66777483.999999985"/>
    <n v="13677315.999999996"/>
  </r>
  <r>
    <n v="104"/>
    <s v="Dylan"/>
    <x v="3"/>
    <n v="13"/>
    <n v="240"/>
    <n v="70"/>
    <n v="16800"/>
    <n v="202201"/>
    <n v="65134083.999999985"/>
    <n v="13340715.999999996"/>
  </r>
  <r>
    <n v="105"/>
    <s v="Emery"/>
    <x v="4"/>
    <n v="14"/>
    <n v="321"/>
    <n v="1800"/>
    <n v="577800"/>
    <n v="202201"/>
    <n v="65120139.999999985"/>
    <n v="13337859.999999996"/>
  </r>
  <r>
    <n v="106"/>
    <s v="Fatima"/>
    <x v="5"/>
    <n v="15"/>
    <n v="105"/>
    <n v="600"/>
    <n v="63000"/>
    <n v="202202"/>
    <n v="64640565.999999985"/>
    <n v="13239633.999999996"/>
  </r>
  <r>
    <n v="107"/>
    <s v="Gaily"/>
    <x v="6"/>
    <n v="16"/>
    <n v="503"/>
    <n v="350"/>
    <n v="176050"/>
    <n v="202202"/>
    <n v="64588275.999999985"/>
    <n v="13228923.999999996"/>
  </r>
  <r>
    <n v="108"/>
    <s v="Hlope"/>
    <x v="7"/>
    <n v="17"/>
    <n v="438"/>
    <n v="270"/>
    <n v="118260"/>
    <n v="202202"/>
    <n v="64442154.499999985"/>
    <n v="13198995.499999996"/>
  </r>
  <r>
    <n v="109"/>
    <s v="Imran"/>
    <x v="8"/>
    <n v="18"/>
    <n v="352"/>
    <n v="250"/>
    <n v="88000"/>
    <n v="202202"/>
    <n v="64343998.699999988"/>
    <n v="13178891.299999997"/>
  </r>
  <r>
    <n v="110"/>
    <s v="Julia"/>
    <x v="0"/>
    <n v="19"/>
    <n v="678"/>
    <n v="2300"/>
    <n v="1559400"/>
    <n v="202202"/>
    <n v="64270958.699999988"/>
    <n v="13163931.299999997"/>
  </r>
  <r>
    <n v="111"/>
    <s v="Kuda"/>
    <x v="9"/>
    <n v="20"/>
    <n v="424"/>
    <n v="6800"/>
    <n v="2883200"/>
    <n v="202203"/>
    <n v="62976656.699999988"/>
    <n v="12898833.299999997"/>
  </r>
  <r>
    <n v="112"/>
    <s v="Lynn"/>
    <x v="0"/>
    <n v="10"/>
    <n v="965"/>
    <n v="900"/>
    <n v="868500"/>
    <n v="202203"/>
    <n v="60583600.699999988"/>
    <n v="12408689.299999997"/>
  </r>
  <r>
    <n v="113"/>
    <s v="Mlungisi"/>
    <x v="2"/>
    <n v="11"/>
    <n v="236"/>
    <n v="1200"/>
    <n v="283200"/>
    <n v="202203"/>
    <n v="59862745.699999988"/>
    <n v="12261044.299999997"/>
  </r>
  <r>
    <n v="114"/>
    <s v="Ngubane"/>
    <x v="1"/>
    <n v="12"/>
    <n v="463"/>
    <n v="6600"/>
    <n v="3055800"/>
    <n v="202203"/>
    <n v="59627689.699999988"/>
    <n v="12212900.299999997"/>
  </r>
  <r>
    <n v="115"/>
    <s v="Otilia"/>
    <x v="8"/>
    <n v="13"/>
    <n v="198"/>
    <n v="70"/>
    <n v="13860"/>
    <n v="202203"/>
    <n v="57091375.699999988"/>
    <n v="11693414.299999999"/>
  </r>
  <r>
    <n v="116"/>
    <s v="Pete"/>
    <x v="7"/>
    <n v="14"/>
    <n v="673"/>
    <n v="1800"/>
    <n v="1211400"/>
    <n v="202204"/>
    <n v="57079871.899999991"/>
    <n v="11691058.099999998"/>
  </r>
  <r>
    <n v="117"/>
    <s v="Qobani"/>
    <x v="6"/>
    <n v="15"/>
    <n v="392"/>
    <n v="600"/>
    <n v="235200"/>
    <n v="202204"/>
    <n v="56074409.899999991"/>
    <n v="11485120.099999998"/>
  </r>
  <r>
    <n v="118"/>
    <s v="Ramapula"/>
    <x v="0"/>
    <n v="16"/>
    <n v="851"/>
    <n v="350"/>
    <n v="297850"/>
    <n v="202204"/>
    <n v="55879193.899999991"/>
    <n v="11445136.099999998"/>
  </r>
  <r>
    <n v="119"/>
    <s v="Sue"/>
    <x v="4"/>
    <n v="17"/>
    <n v="425"/>
    <n v="270"/>
    <n v="114750"/>
    <n v="202204"/>
    <n v="55631978.399999991"/>
    <n v="11394501.599999998"/>
  </r>
  <r>
    <n v="120"/>
    <s v="Teclar"/>
    <x v="10"/>
    <n v="18"/>
    <n v="294"/>
    <n v="250"/>
    <n v="73500"/>
    <n v="202204"/>
    <n v="55536735.899999991"/>
    <n v="11374994.099999998"/>
  </r>
  <r>
    <n v="121"/>
    <s v="Ulendo"/>
    <x v="11"/>
    <n v="19"/>
    <n v="383"/>
    <n v="2300"/>
    <n v="880900"/>
    <n v="202205"/>
    <n v="55475730.899999991"/>
    <n v="11362499.099999998"/>
  </r>
  <r>
    <n v="122"/>
    <s v="Vivian"/>
    <x v="3"/>
    <n v="20"/>
    <n v="298"/>
    <n v="6800"/>
    <n v="2026400"/>
    <n v="202205"/>
    <n v="54744583.899999991"/>
    <n v="11212746.099999998"/>
  </r>
  <r>
    <n v="123"/>
    <s v="Welly"/>
    <x v="7"/>
    <n v="10"/>
    <n v="283"/>
    <n v="900"/>
    <n v="254700"/>
    <n v="202205"/>
    <n v="53062671.899999991"/>
    <n v="10868258.1"/>
  </r>
  <r>
    <n v="124"/>
    <s v="Xolani"/>
    <x v="2"/>
    <n v="11"/>
    <n v="593"/>
    <n v="1200"/>
    <n v="711600"/>
    <n v="202205"/>
    <n v="52851270.899999991"/>
    <n v="10824959.1"/>
  </r>
  <r>
    <n v="125"/>
    <s v="Yvette"/>
    <x v="1"/>
    <n v="12"/>
    <n v="296"/>
    <n v="6600"/>
    <n v="1953600"/>
    <n v="202206"/>
    <n v="52260642.899999991"/>
    <n v="10703987.1"/>
  </r>
  <r>
    <n v="126"/>
    <s v="Zama"/>
    <x v="10"/>
    <n v="13"/>
    <n v="519"/>
    <n v="70"/>
    <n v="36330"/>
    <n v="202206"/>
    <n v="50639154.899999991"/>
    <n v="10371875.1"/>
  </r>
  <r>
    <n v="127"/>
    <s v="Aaron"/>
    <x v="0"/>
    <n v="10"/>
    <n v="800"/>
    <n v="900"/>
    <n v="720000"/>
    <n v="202206"/>
    <n v="50609000.999999993"/>
    <n v="10365699"/>
  </r>
  <r>
    <n v="128"/>
    <s v="Brooke"/>
    <x v="1"/>
    <n v="11"/>
    <n v="104"/>
    <n v="1200"/>
    <n v="124800"/>
    <n v="202206"/>
    <n v="50011400.999999993"/>
    <n v="10243298.999999998"/>
  </r>
  <r>
    <n v="129"/>
    <s v="Cain"/>
    <x v="2"/>
    <n v="12"/>
    <n v="300"/>
    <n v="6600"/>
    <n v="1980000"/>
    <n v="202207"/>
    <n v="49907816.999999993"/>
    <n v="10222082.999999998"/>
  </r>
  <r>
    <n v="130"/>
    <s v="Dre"/>
    <x v="3"/>
    <n v="13"/>
    <n v="240"/>
    <n v="70"/>
    <n v="16800"/>
    <n v="202207"/>
    <n v="48264416.999999993"/>
    <n v="9885482.9999999981"/>
  </r>
  <r>
    <n v="131"/>
    <s v="Ethan"/>
    <x v="4"/>
    <n v="14"/>
    <n v="321"/>
    <n v="1800"/>
    <n v="577800"/>
    <n v="202207"/>
    <n v="48250472.999999993"/>
    <n v="9882626.9999999981"/>
  </r>
  <r>
    <n v="132"/>
    <s v="Florence"/>
    <x v="5"/>
    <n v="15"/>
    <n v="105"/>
    <n v="600"/>
    <n v="63000"/>
    <n v="202207"/>
    <n v="47770898.999999993"/>
    <n v="9784400.9999999981"/>
  </r>
  <r>
    <n v="133"/>
    <s v="Gilian"/>
    <x v="6"/>
    <n v="16"/>
    <n v="503"/>
    <n v="350"/>
    <n v="176050"/>
    <n v="202207"/>
    <n v="47718608.999999993"/>
    <n v="9773690.9999999981"/>
  </r>
  <r>
    <n v="134"/>
    <s v="Humbulani"/>
    <x v="7"/>
    <n v="17"/>
    <n v="438"/>
    <n v="270"/>
    <n v="118260"/>
    <n v="202208"/>
    <n v="47572487.499999993"/>
    <n v="9743762.4999999981"/>
  </r>
  <r>
    <n v="135"/>
    <s v="Ian"/>
    <x v="8"/>
    <n v="18"/>
    <n v="352"/>
    <n v="250"/>
    <n v="88000"/>
    <n v="202208"/>
    <n v="47474331.699999996"/>
    <n v="9723658.2999999989"/>
  </r>
  <r>
    <n v="136"/>
    <s v="Jacob"/>
    <x v="0"/>
    <n v="19"/>
    <n v="678"/>
    <n v="2300"/>
    <n v="1559400"/>
    <n v="202208"/>
    <n v="47401291.699999996"/>
    <n v="9708698.2999999989"/>
  </r>
  <r>
    <n v="137"/>
    <s v="Khosi"/>
    <x v="9"/>
    <n v="20"/>
    <n v="424"/>
    <n v="6800"/>
    <n v="2883200"/>
    <n v="202208"/>
    <n v="46106989.699999996"/>
    <n v="9443600.2999999989"/>
  </r>
  <r>
    <n v="138"/>
    <s v="Lulu"/>
    <x v="0"/>
    <n v="10"/>
    <n v="965"/>
    <n v="900"/>
    <n v="868500"/>
    <n v="202209"/>
    <n v="43713933.699999996"/>
    <n v="8953456.2999999989"/>
  </r>
  <r>
    <n v="139"/>
    <s v="Mercy"/>
    <x v="2"/>
    <n v="11"/>
    <n v="236"/>
    <n v="1200"/>
    <n v="283200"/>
    <n v="202209"/>
    <n v="42993078.699999996"/>
    <n v="8805811.2999999989"/>
  </r>
  <r>
    <n v="140"/>
    <s v="Nhlakanipho"/>
    <x v="1"/>
    <n v="12"/>
    <n v="463"/>
    <n v="6600"/>
    <n v="3055800"/>
    <n v="202209"/>
    <n v="42758022.699999996"/>
    <n v="8757667.2999999989"/>
  </r>
  <r>
    <n v="141"/>
    <s v="Obrey"/>
    <x v="8"/>
    <n v="13"/>
    <n v="198"/>
    <n v="70"/>
    <n v="13860"/>
    <n v="202209"/>
    <n v="40221708.699999996"/>
    <n v="8238181.2999999998"/>
  </r>
  <r>
    <n v="142"/>
    <s v="Phule"/>
    <x v="7"/>
    <n v="14"/>
    <n v="673"/>
    <n v="1800"/>
    <n v="1211400"/>
    <n v="202209"/>
    <n v="40210204.899999999"/>
    <n v="8235825.0999999996"/>
  </r>
  <r>
    <n v="143"/>
    <s v="Qulu"/>
    <x v="6"/>
    <n v="15"/>
    <n v="392"/>
    <n v="600"/>
    <n v="235200"/>
    <n v="202210"/>
    <n v="39204742.899999999"/>
    <n v="8029887.0999999996"/>
  </r>
  <r>
    <n v="144"/>
    <s v="Reitumetse"/>
    <x v="0"/>
    <n v="16"/>
    <n v="851"/>
    <n v="350"/>
    <n v="297850"/>
    <n v="202210"/>
    <n v="39009526.899999999"/>
    <n v="7989903.0999999996"/>
  </r>
  <r>
    <n v="145"/>
    <s v="Slindelo"/>
    <x v="4"/>
    <n v="17"/>
    <n v="425"/>
    <n v="270"/>
    <n v="114750"/>
    <n v="202210"/>
    <n v="38762311.399999999"/>
    <n v="7939268.5999999996"/>
  </r>
  <r>
    <n v="146"/>
    <s v="Thulani"/>
    <x v="10"/>
    <n v="18"/>
    <n v="294"/>
    <n v="250"/>
    <n v="73500"/>
    <n v="202210"/>
    <n v="38667068.899999999"/>
    <n v="7919761.0999999996"/>
  </r>
  <r>
    <n v="147"/>
    <s v="Uria"/>
    <x v="11"/>
    <n v="19"/>
    <n v="383"/>
    <n v="2300"/>
    <n v="880900"/>
    <n v="202210"/>
    <n v="38606063.899999999"/>
    <n v="7907266.0999999996"/>
  </r>
  <r>
    <n v="148"/>
    <s v="Valarie"/>
    <x v="3"/>
    <n v="20"/>
    <n v="298"/>
    <n v="6800"/>
    <n v="2026400"/>
    <n v="202211"/>
    <n v="37874916.899999999"/>
    <n v="7757513.0999999996"/>
  </r>
  <r>
    <n v="149"/>
    <s v="Wandiswa"/>
    <x v="7"/>
    <n v="10"/>
    <n v="283"/>
    <n v="900"/>
    <n v="254700"/>
    <n v="202211"/>
    <n v="36193004.899999999"/>
    <n v="7413025.0999999996"/>
  </r>
  <r>
    <n v="150"/>
    <s v="Xolele"/>
    <x v="2"/>
    <n v="11"/>
    <n v="593"/>
    <n v="1200"/>
    <n v="711600"/>
    <n v="202211"/>
    <n v="35981603.899999999"/>
    <n v="7369726.0999999996"/>
  </r>
  <r>
    <n v="151"/>
    <s v="Yvonne"/>
    <x v="1"/>
    <n v="12"/>
    <n v="296"/>
    <n v="6600"/>
    <n v="1953600"/>
    <n v="202211"/>
    <n v="35390975.899999999"/>
    <n v="7248754.0999999996"/>
  </r>
  <r>
    <n v="152"/>
    <s v="Zime"/>
    <x v="0"/>
    <n v="13"/>
    <n v="519"/>
    <n v="70"/>
    <n v="36330"/>
    <n v="202211"/>
    <n v="33769487.899999999"/>
    <n v="6916642.1000000006"/>
  </r>
  <r>
    <n v="153"/>
    <s v="Allan"/>
    <x v="0"/>
    <n v="10"/>
    <n v="800"/>
    <n v="900"/>
    <n v="720000"/>
    <n v="202212"/>
    <n v="33739334"/>
    <n v="6910466.0000000009"/>
  </r>
  <r>
    <n v="154"/>
    <s v="Bulelani"/>
    <x v="1"/>
    <n v="11"/>
    <n v="104"/>
    <n v="1200"/>
    <n v="124800"/>
    <n v="202212"/>
    <n v="33141734"/>
    <n v="6788066"/>
  </r>
  <r>
    <n v="155"/>
    <s v="Cele"/>
    <x v="2"/>
    <n v="12"/>
    <n v="300"/>
    <n v="6600"/>
    <n v="1980000"/>
    <n v="202212"/>
    <n v="33038150"/>
    <n v="6766850"/>
  </r>
  <r>
    <n v="156"/>
    <s v="Debra"/>
    <x v="3"/>
    <n v="13"/>
    <n v="240"/>
    <n v="70"/>
    <n v="16800"/>
    <n v="202212"/>
    <n v="31394750"/>
    <n v="6430250"/>
  </r>
  <r>
    <n v="157"/>
    <s v="Ellen"/>
    <x v="4"/>
    <n v="14"/>
    <n v="321"/>
    <n v="1800"/>
    <n v="577800"/>
    <n v="202301"/>
    <n v="31380806"/>
    <n v="6427394"/>
  </r>
  <r>
    <n v="158"/>
    <s v="Felix"/>
    <x v="5"/>
    <n v="15"/>
    <n v="105"/>
    <n v="600"/>
    <n v="63000"/>
    <n v="202301"/>
    <n v="30901232"/>
    <n v="6329168"/>
  </r>
  <r>
    <n v="159"/>
    <s v="George"/>
    <x v="6"/>
    <n v="16"/>
    <n v="503"/>
    <n v="350"/>
    <n v="176050"/>
    <n v="202301"/>
    <n v="30848942"/>
    <n v="6318458"/>
  </r>
  <r>
    <n v="160"/>
    <s v="Holomisa"/>
    <x v="7"/>
    <n v="17"/>
    <n v="438"/>
    <n v="270"/>
    <n v="118260"/>
    <n v="202301"/>
    <n v="30702820.5"/>
    <n v="6288529.5"/>
  </r>
  <r>
    <n v="161"/>
    <s v="Ingrid"/>
    <x v="8"/>
    <n v="18"/>
    <n v="352"/>
    <n v="250"/>
    <n v="88000"/>
    <n v="202302"/>
    <n v="30604664.699999999"/>
    <n v="6268425.2999999998"/>
  </r>
  <r>
    <n v="162"/>
    <s v="Jason"/>
    <x v="0"/>
    <n v="19"/>
    <n v="678"/>
    <n v="2300"/>
    <n v="1559400"/>
    <n v="202302"/>
    <n v="30531624.699999999"/>
    <n v="6253465.2999999998"/>
  </r>
  <r>
    <n v="163"/>
    <s v="Khumbulani"/>
    <x v="9"/>
    <n v="20"/>
    <n v="424"/>
    <n v="6800"/>
    <n v="2883200"/>
    <n v="202302"/>
    <n v="29237322.699999999"/>
    <n v="5988367.2999999998"/>
  </r>
  <r>
    <n v="164"/>
    <s v="Lindelani"/>
    <x v="0"/>
    <n v="10"/>
    <n v="965"/>
    <n v="900"/>
    <n v="868500"/>
    <n v="202302"/>
    <n v="26844266.699999999"/>
    <n v="5498223.2999999998"/>
  </r>
  <r>
    <n v="165"/>
    <s v="Mabaso"/>
    <x v="2"/>
    <n v="11"/>
    <n v="236"/>
    <n v="1200"/>
    <n v="283200"/>
    <n v="202303"/>
    <n v="26123411.699999999"/>
    <n v="5350578.3"/>
  </r>
  <r>
    <n v="166"/>
    <s v="Nqubani"/>
    <x v="1"/>
    <n v="12"/>
    <n v="463"/>
    <n v="6600"/>
    <n v="3055800"/>
    <n v="202303"/>
    <n v="25888355.699999999"/>
    <n v="5302434.3"/>
  </r>
  <r>
    <n v="167"/>
    <s v="Onke"/>
    <x v="8"/>
    <n v="13"/>
    <n v="198"/>
    <n v="70"/>
    <n v="13860"/>
    <n v="202303"/>
    <n v="23352041.699999999"/>
    <n v="4782948.3"/>
  </r>
  <r>
    <n v="168"/>
    <s v="Precious"/>
    <x v="7"/>
    <n v="14"/>
    <n v="673"/>
    <n v="1800"/>
    <n v="1211400"/>
    <n v="202303"/>
    <n v="23340537.900000002"/>
    <n v="4780592.0999999996"/>
  </r>
  <r>
    <n v="169"/>
    <s v="Qwabe"/>
    <x v="6"/>
    <n v="15"/>
    <n v="392"/>
    <n v="600"/>
    <n v="235200"/>
    <n v="202303"/>
    <n v="22335075.899999999"/>
    <n v="4574654.0999999996"/>
  </r>
  <r>
    <n v="170"/>
    <s v="Rulani"/>
    <x v="0"/>
    <n v="16"/>
    <n v="851"/>
    <n v="350"/>
    <n v="297850"/>
    <n v="202303"/>
    <n v="22139859.899999999"/>
    <n v="4534670.0999999996"/>
  </r>
  <r>
    <n v="171"/>
    <s v="Simbongile"/>
    <x v="4"/>
    <n v="17"/>
    <n v="425"/>
    <n v="270"/>
    <n v="114750"/>
    <n v="202304"/>
    <n v="21892644.399999999"/>
    <n v="4484035.5999999996"/>
  </r>
  <r>
    <n v="172"/>
    <s v="Themba"/>
    <x v="10"/>
    <n v="18"/>
    <n v="294"/>
    <n v="250"/>
    <n v="73500"/>
    <n v="202304"/>
    <n v="21797401.899999999"/>
    <n v="4464528.0999999996"/>
  </r>
  <r>
    <n v="173"/>
    <s v="Urthar"/>
    <x v="11"/>
    <n v="19"/>
    <n v="383"/>
    <n v="2300"/>
    <n v="880900"/>
    <n v="202304"/>
    <n v="21736396.899999999"/>
    <n v="4452033.0999999996"/>
  </r>
  <r>
    <n v="174"/>
    <s v="Vusimusi"/>
    <x v="3"/>
    <n v="20"/>
    <n v="298"/>
    <n v="6800"/>
    <n v="2026400"/>
    <n v="202304"/>
    <n v="21005249.899999999"/>
    <n v="4302280.0999999996"/>
  </r>
  <r>
    <n v="175"/>
    <s v="Wandile"/>
    <x v="7"/>
    <n v="10"/>
    <n v="283"/>
    <n v="900"/>
    <n v="254700"/>
    <n v="202305"/>
    <n v="19323337.899999999"/>
    <n v="3957792.1"/>
  </r>
  <r>
    <n v="176"/>
    <s v="Xolisi"/>
    <x v="2"/>
    <n v="11"/>
    <n v="593"/>
    <n v="1200"/>
    <n v="711600"/>
    <n v="202305"/>
    <n v="19111936.899999999"/>
    <n v="3914493.1"/>
  </r>
  <r>
    <n v="177"/>
    <s v="Yolanda"/>
    <x v="1"/>
    <n v="12"/>
    <n v="296"/>
    <n v="6600"/>
    <n v="1953600"/>
    <n v="202305"/>
    <n v="18521308.899999999"/>
    <n v="3793521.1"/>
  </r>
  <r>
    <n v="178"/>
    <s v="Zinhle"/>
    <x v="1"/>
    <n v="13"/>
    <n v="519"/>
    <n v="70"/>
    <n v="36330"/>
    <n v="202305"/>
    <n v="16899820.899999999"/>
    <n v="3461409.1"/>
  </r>
  <r>
    <n v="179"/>
    <s v="Asanda"/>
    <x v="0"/>
    <n v="10"/>
    <n v="800"/>
    <n v="900"/>
    <n v="720000"/>
    <n v="202306"/>
    <n v="16869667"/>
    <n v="3455233.0000000005"/>
  </r>
  <r>
    <n v="180"/>
    <s v="Bhekie"/>
    <x v="1"/>
    <n v="11"/>
    <n v="104"/>
    <n v="1200"/>
    <n v="124800"/>
    <n v="202306"/>
    <n v="16272067.000000002"/>
    <n v="3332833"/>
  </r>
  <r>
    <n v="181"/>
    <s v="Cumani"/>
    <x v="2"/>
    <n v="12"/>
    <n v="300"/>
    <n v="6600"/>
    <n v="1980000"/>
    <n v="202306"/>
    <n v="16168483.000000002"/>
    <n v="3311617"/>
  </r>
  <r>
    <n v="182"/>
    <s v="Dennis"/>
    <x v="3"/>
    <n v="13"/>
    <n v="240"/>
    <n v="70"/>
    <n v="16800"/>
    <n v="202306"/>
    <n v="14525083"/>
    <n v="2975017"/>
  </r>
  <r>
    <n v="183"/>
    <s v="Emma"/>
    <x v="4"/>
    <n v="14"/>
    <n v="321"/>
    <n v="1800"/>
    <n v="577800"/>
    <n v="202307"/>
    <n v="14511139"/>
    <n v="2972161"/>
  </r>
  <r>
    <n v="184"/>
    <s v="Fiona"/>
    <x v="5"/>
    <n v="15"/>
    <n v="105"/>
    <n v="600"/>
    <n v="63000"/>
    <n v="202307"/>
    <n v="14031565"/>
    <n v="2873935"/>
  </r>
  <r>
    <n v="185"/>
    <s v="Garry"/>
    <x v="6"/>
    <n v="16"/>
    <n v="503"/>
    <n v="350"/>
    <n v="176050"/>
    <n v="202307"/>
    <n v="13979275"/>
    <n v="2863225"/>
  </r>
  <r>
    <n v="186"/>
    <s v="Hlalulile"/>
    <x v="7"/>
    <n v="17"/>
    <n v="438"/>
    <n v="270"/>
    <n v="118260"/>
    <n v="202308"/>
    <n v="13833153.5"/>
    <n v="2833296.5"/>
  </r>
  <r>
    <n v="187"/>
    <s v="Indie"/>
    <x v="8"/>
    <n v="18"/>
    <n v="352"/>
    <n v="250"/>
    <n v="88000"/>
    <n v="202308"/>
    <n v="13734997.700000001"/>
    <n v="2813192.3000000003"/>
  </r>
  <r>
    <n v="188"/>
    <s v="Juliana"/>
    <x v="0"/>
    <n v="19"/>
    <n v="678"/>
    <n v="2300"/>
    <n v="1559400"/>
    <n v="202308"/>
    <n v="13661957.700000001"/>
    <n v="2798232.3000000003"/>
  </r>
  <r>
    <n v="189"/>
    <s v="Kheswa"/>
    <x v="9"/>
    <n v="20"/>
    <n v="424"/>
    <n v="6800"/>
    <n v="2883200"/>
    <n v="202309"/>
    <n v="12367655.700000001"/>
    <n v="2533134.3000000003"/>
  </r>
  <r>
    <n v="190"/>
    <s v="Lindokuhle"/>
    <x v="0"/>
    <n v="10"/>
    <n v="965"/>
    <n v="900"/>
    <n v="868500"/>
    <n v="202309"/>
    <n v="9974599.7000000011"/>
    <n v="2042990.3"/>
  </r>
  <r>
    <n v="191"/>
    <s v="Mandla"/>
    <x v="2"/>
    <n v="11"/>
    <n v="236"/>
    <n v="1200"/>
    <n v="283200"/>
    <n v="202309"/>
    <n v="9253744.7000000011"/>
    <n v="1895345.3"/>
  </r>
  <r>
    <n v="192"/>
    <s v="Ngubane"/>
    <x v="1"/>
    <n v="12"/>
    <n v="463"/>
    <n v="6600"/>
    <n v="3055800"/>
    <n v="202309"/>
    <n v="9018688.7000000011"/>
    <n v="1847201.3"/>
  </r>
  <r>
    <n v="193"/>
    <s v="Oscar"/>
    <x v="8"/>
    <n v="13"/>
    <n v="198"/>
    <n v="70"/>
    <n v="13860"/>
    <n v="202310"/>
    <n v="6482374.7000000002"/>
    <n v="1327715.3"/>
  </r>
  <r>
    <n v="194"/>
    <s v="Peters"/>
    <x v="7"/>
    <n v="14"/>
    <n v="673"/>
    <n v="1800"/>
    <n v="1211400"/>
    <n v="202310"/>
    <n v="6470870.9000000004"/>
    <n v="1325359.1000000001"/>
  </r>
  <r>
    <n v="195"/>
    <s v="Qalani"/>
    <x v="6"/>
    <n v="15"/>
    <n v="392"/>
    <n v="600"/>
    <n v="235200"/>
    <n v="202310"/>
    <n v="5465408.9000000004"/>
    <n v="1119421.1000000001"/>
  </r>
  <r>
    <n v="196"/>
    <s v="Respina"/>
    <x v="0"/>
    <n v="16"/>
    <n v="851"/>
    <n v="350"/>
    <n v="297850"/>
    <n v="202310"/>
    <n v="5270192.9000000004"/>
    <n v="1079437.1000000001"/>
  </r>
  <r>
    <n v="197"/>
    <s v="Shozi"/>
    <x v="4"/>
    <n v="17"/>
    <n v="425"/>
    <n v="270"/>
    <n v="114750"/>
    <n v="202311"/>
    <n v="5022977.4000000004"/>
    <n v="1028802.6"/>
  </r>
  <r>
    <n v="198"/>
    <s v="Thembalami"/>
    <x v="10"/>
    <n v="18"/>
    <n v="294"/>
    <n v="250"/>
    <n v="73500"/>
    <n v="202311"/>
    <n v="4927734.9000000004"/>
    <n v="1009295.1"/>
  </r>
  <r>
    <n v="199"/>
    <s v="Usofia"/>
    <x v="11"/>
    <n v="19"/>
    <n v="383"/>
    <n v="2300"/>
    <n v="880900"/>
    <n v="202311"/>
    <n v="4866729.9000000004"/>
    <n v="996800.1"/>
  </r>
  <r>
    <n v="200"/>
    <s v="Vhutshilo"/>
    <x v="3"/>
    <n v="20"/>
    <n v="298"/>
    <n v="6800"/>
    <n v="2026400"/>
    <n v="202311"/>
    <n v="4135582.9"/>
    <n v="847047.1"/>
  </r>
  <r>
    <n v="201"/>
    <s v="Wendy"/>
    <x v="7"/>
    <n v="10"/>
    <n v="283"/>
    <n v="900"/>
    <n v="254700"/>
    <n v="202312"/>
    <n v="2453670.9"/>
    <n v="502559.1"/>
  </r>
  <r>
    <n v="202"/>
    <s v="Xulu"/>
    <x v="2"/>
    <n v="11"/>
    <n v="593"/>
    <n v="1200"/>
    <n v="711600"/>
    <n v="202312"/>
    <n v="2242269.9"/>
    <n v="459260.1"/>
  </r>
  <r>
    <n v="203"/>
    <s v="Yolandie"/>
    <x v="1"/>
    <n v="12"/>
    <n v="296"/>
    <n v="6600"/>
    <n v="1953600"/>
    <n v="202312"/>
    <n v="1651641.9"/>
    <n v="338288.1"/>
  </r>
  <r>
    <n v="204"/>
    <s v="Zuma"/>
    <x v="1"/>
    <n v="13"/>
    <n v="519"/>
    <n v="70"/>
    <n v="36330"/>
    <n v="202312"/>
    <n v="30153.9"/>
    <n v="6176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3F835-3179-442B-9181-04BD666222B7}" name="PivotTable64" cacheId="8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3:B15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11"/>
        <item x="2"/>
        <item x="4"/>
        <item x="9"/>
        <item x="0"/>
        <item x="1"/>
        <item x="7"/>
        <item x="3"/>
        <item x="10"/>
        <item x="6"/>
        <item x="8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Sales" fld="6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82781-BEB1-4A42-B7AF-7F956225EA22}">
  <dimension ref="A3:B15"/>
  <sheetViews>
    <sheetView topLeftCell="A7" workbookViewId="0">
      <selection activeCell="D18" sqref="D18"/>
    </sheetView>
  </sheetViews>
  <sheetFormatPr defaultRowHeight="14.4" x14ac:dyDescent="0.3"/>
  <cols>
    <col min="1" max="1" width="11.21875" bestFit="1" customWidth="1"/>
    <col min="2" max="2" width="14.88671875" bestFit="1" customWidth="1"/>
  </cols>
  <sheetData>
    <row r="3" spans="1:2" x14ac:dyDescent="0.3">
      <c r="A3" s="25" t="s">
        <v>134</v>
      </c>
      <c r="B3" t="s">
        <v>147</v>
      </c>
    </row>
    <row r="4" spans="1:2" x14ac:dyDescent="0.3">
      <c r="A4" t="s">
        <v>16</v>
      </c>
      <c r="B4" s="26">
        <v>3523600</v>
      </c>
    </row>
    <row r="5" spans="1:2" x14ac:dyDescent="0.3">
      <c r="A5" t="s">
        <v>7</v>
      </c>
      <c r="B5" s="26">
        <v>11899200</v>
      </c>
    </row>
    <row r="6" spans="1:2" x14ac:dyDescent="0.3">
      <c r="A6" t="s">
        <v>9</v>
      </c>
      <c r="B6" s="26">
        <v>2770200</v>
      </c>
    </row>
    <row r="7" spans="1:2" x14ac:dyDescent="0.3">
      <c r="A7" t="s">
        <v>14</v>
      </c>
      <c r="B7" s="26">
        <v>11532800</v>
      </c>
    </row>
    <row r="8" spans="1:2" x14ac:dyDescent="0.3">
      <c r="A8" t="s">
        <v>5</v>
      </c>
      <c r="B8" s="26">
        <v>13819330</v>
      </c>
    </row>
    <row r="9" spans="1:2" x14ac:dyDescent="0.3">
      <c r="A9" t="s">
        <v>6</v>
      </c>
      <c r="B9" s="26">
        <v>20609460</v>
      </c>
    </row>
    <row r="10" spans="1:2" x14ac:dyDescent="0.3">
      <c r="A10" t="s">
        <v>12</v>
      </c>
      <c r="B10" s="26">
        <v>6337440</v>
      </c>
    </row>
    <row r="11" spans="1:2" x14ac:dyDescent="0.3">
      <c r="A11" t="s">
        <v>8</v>
      </c>
      <c r="B11" s="26">
        <v>8172800</v>
      </c>
    </row>
    <row r="12" spans="1:2" x14ac:dyDescent="0.3">
      <c r="A12" t="s">
        <v>15</v>
      </c>
      <c r="B12" s="26">
        <v>330330</v>
      </c>
    </row>
    <row r="13" spans="1:2" x14ac:dyDescent="0.3">
      <c r="A13" t="s">
        <v>11</v>
      </c>
      <c r="B13" s="26">
        <v>1645000</v>
      </c>
    </row>
    <row r="14" spans="1:2" x14ac:dyDescent="0.3">
      <c r="A14" t="s">
        <v>13</v>
      </c>
      <c r="B14" s="26">
        <v>407440</v>
      </c>
    </row>
    <row r="15" spans="1:2" x14ac:dyDescent="0.3">
      <c r="A15" t="s">
        <v>10</v>
      </c>
      <c r="B15" s="26">
        <v>252000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2"/>
  <sheetViews>
    <sheetView tabSelected="1" topLeftCell="G1" workbookViewId="0">
      <selection activeCell="R24" sqref="R24"/>
    </sheetView>
  </sheetViews>
  <sheetFormatPr defaultRowHeight="14.4" x14ac:dyDescent="0.3"/>
  <cols>
    <col min="1" max="1" width="11.88671875" style="1" bestFit="1" customWidth="1"/>
    <col min="2" max="2" width="15.21875" style="1" bestFit="1" customWidth="1"/>
    <col min="3" max="3" width="9.5546875" style="1" bestFit="1" customWidth="1"/>
    <col min="4" max="4" width="10.44140625" style="1" bestFit="1" customWidth="1"/>
    <col min="5" max="5" width="8.33203125" style="1" bestFit="1" customWidth="1"/>
    <col min="6" max="6" width="12.33203125" style="1" bestFit="1" customWidth="1"/>
    <col min="7" max="7" width="13.88671875" style="1" bestFit="1" customWidth="1"/>
    <col min="8" max="8" width="7.6640625" bestFit="1" customWidth="1"/>
    <col min="9" max="10" width="14.88671875" bestFit="1" customWidth="1"/>
    <col min="11" max="12" width="13.77734375" bestFit="1" customWidth="1"/>
    <col min="13" max="13" width="43.88671875" customWidth="1"/>
    <col min="14" max="14" width="15.21875" bestFit="1" customWidth="1"/>
    <col min="15" max="16" width="10.44140625" bestFit="1" customWidth="1"/>
    <col min="17" max="18" width="12.77734375" bestFit="1" customWidth="1"/>
    <col min="19" max="19" width="9.5546875" bestFit="1" customWidth="1"/>
    <col min="20" max="20" width="11" customWidth="1"/>
  </cols>
  <sheetData>
    <row r="1" spans="1:19" ht="15" thickBot="1" x14ac:dyDescent="0.35">
      <c r="A1" s="5" t="s">
        <v>1</v>
      </c>
      <c r="B1" s="5" t="s">
        <v>2</v>
      </c>
      <c r="C1" s="23" t="s">
        <v>134</v>
      </c>
      <c r="D1" s="5" t="s">
        <v>3</v>
      </c>
      <c r="E1" s="5" t="s">
        <v>0</v>
      </c>
      <c r="F1" s="5" t="s">
        <v>19</v>
      </c>
      <c r="G1" s="5" t="s">
        <v>18</v>
      </c>
      <c r="H1" s="5" t="s">
        <v>4</v>
      </c>
      <c r="I1" s="5" t="s">
        <v>131</v>
      </c>
      <c r="J1" s="5" t="s">
        <v>124</v>
      </c>
      <c r="K1" s="5" t="s">
        <v>125</v>
      </c>
      <c r="M1" s="12" t="s">
        <v>129</v>
      </c>
      <c r="N1" s="6">
        <f>SUMIF(D2:D105,"13",G2:G105)</f>
        <v>267960</v>
      </c>
    </row>
    <row r="2" spans="1:19" ht="15" thickBot="1" x14ac:dyDescent="0.35">
      <c r="A2" s="10">
        <v>101</v>
      </c>
      <c r="B2" s="10" t="s">
        <v>20</v>
      </c>
      <c r="C2" s="10" t="s">
        <v>5</v>
      </c>
      <c r="D2" s="10">
        <v>10</v>
      </c>
      <c r="E2" s="10">
        <v>800</v>
      </c>
      <c r="F2" s="11">
        <v>900</v>
      </c>
      <c r="G2" s="11">
        <f>E2*F2</f>
        <v>720000</v>
      </c>
      <c r="H2" s="10">
        <v>202201</v>
      </c>
      <c r="I2" s="22" cm="1">
        <f t="array" ref="I2">SUM(G2:G105*83/100)</f>
        <v>67478668</v>
      </c>
      <c r="J2" s="9" cm="1">
        <f t="array" ref="J2">SUM(G2:G105*17/100)</f>
        <v>13820931.999999998</v>
      </c>
      <c r="K2" s="4" t="str" cm="1">
        <f t="array" ref="K2:K105">_xlfn.IFS(J2:J105&lt;100000,"Low Profit",J2:J105&gt;=100000&lt;299000,"Medium Low Profit",J2:J105&gt;=300000&lt;499000,"Medium High Profit",J2:J105&gt;500000,"High Profit")</f>
        <v>High Profit</v>
      </c>
      <c r="M2" t="s">
        <v>127</v>
      </c>
      <c r="S2" s="3"/>
    </row>
    <row r="3" spans="1:19" ht="15" thickBot="1" x14ac:dyDescent="0.35">
      <c r="A3" s="10">
        <v>102</v>
      </c>
      <c r="B3" s="10" t="s">
        <v>21</v>
      </c>
      <c r="C3" s="10" t="s">
        <v>6</v>
      </c>
      <c r="D3" s="10">
        <v>11</v>
      </c>
      <c r="E3" s="10">
        <v>104</v>
      </c>
      <c r="F3" s="11">
        <v>1200</v>
      </c>
      <c r="G3" s="11">
        <f t="shared" ref="G3:G66" si="0">E3*F3</f>
        <v>124800</v>
      </c>
      <c r="H3" s="10">
        <v>202201</v>
      </c>
      <c r="I3" s="22" cm="1">
        <f t="array" ref="I3">SUM(G3:G106*83/100)</f>
        <v>66881067.999999985</v>
      </c>
      <c r="J3" s="9" cm="1">
        <f t="array" ref="J3">SUM(G3:G106*17/100)</f>
        <v>13698531.999999996</v>
      </c>
      <c r="K3" s="4" t="str">
        <v>High Profit</v>
      </c>
      <c r="M3" s="7" t="s">
        <v>130</v>
      </c>
      <c r="N3" s="8">
        <f>COUNT(D2:D105)</f>
        <v>104</v>
      </c>
    </row>
    <row r="4" spans="1:19" ht="15" thickBot="1" x14ac:dyDescent="0.35">
      <c r="A4" s="10">
        <v>103</v>
      </c>
      <c r="B4" s="10" t="s">
        <v>22</v>
      </c>
      <c r="C4" s="10" t="s">
        <v>7</v>
      </c>
      <c r="D4" s="10">
        <v>12</v>
      </c>
      <c r="E4" s="10">
        <v>300</v>
      </c>
      <c r="F4" s="11">
        <v>6600</v>
      </c>
      <c r="G4" s="11">
        <f t="shared" si="0"/>
        <v>1980000</v>
      </c>
      <c r="H4" s="10">
        <v>202201</v>
      </c>
      <c r="I4" s="22" cm="1">
        <f t="array" ref="I4">SUM(G4:G107*83/100)</f>
        <v>66777483.999999985</v>
      </c>
      <c r="J4" s="9" cm="1">
        <f t="array" ref="J4">SUM(G4:G107*17/100)</f>
        <v>13677315.999999996</v>
      </c>
      <c r="K4" s="4" t="str">
        <v>High Profit</v>
      </c>
    </row>
    <row r="5" spans="1:19" ht="15" thickBot="1" x14ac:dyDescent="0.35">
      <c r="A5" s="10">
        <v>104</v>
      </c>
      <c r="B5" s="10" t="s">
        <v>23</v>
      </c>
      <c r="C5" s="10" t="s">
        <v>8</v>
      </c>
      <c r="D5" s="10">
        <v>13</v>
      </c>
      <c r="E5" s="10">
        <v>240</v>
      </c>
      <c r="F5" s="11">
        <v>70</v>
      </c>
      <c r="G5" s="11">
        <f t="shared" si="0"/>
        <v>16800</v>
      </c>
      <c r="H5" s="10">
        <v>202201</v>
      </c>
      <c r="I5" s="22" cm="1">
        <f t="array" ref="I5">SUM(G5:G108*83/100)</f>
        <v>65134083.999999985</v>
      </c>
      <c r="J5" s="9" cm="1">
        <f t="array" ref="J5">SUM(G5:G108*17/100)</f>
        <v>13340715.999999996</v>
      </c>
      <c r="K5" s="4" t="str">
        <v>High Profit</v>
      </c>
      <c r="M5" s="7" t="s">
        <v>133</v>
      </c>
      <c r="N5" s="6">
        <f>SMALL(F2:F105,3)</f>
        <v>70</v>
      </c>
    </row>
    <row r="6" spans="1:19" ht="15" thickBot="1" x14ac:dyDescent="0.35">
      <c r="A6" s="10">
        <v>105</v>
      </c>
      <c r="B6" s="10" t="s">
        <v>24</v>
      </c>
      <c r="C6" s="10" t="s">
        <v>9</v>
      </c>
      <c r="D6" s="10">
        <v>14</v>
      </c>
      <c r="E6" s="10">
        <v>321</v>
      </c>
      <c r="F6" s="11">
        <v>1800</v>
      </c>
      <c r="G6" s="11">
        <f t="shared" si="0"/>
        <v>577800</v>
      </c>
      <c r="H6" s="10">
        <v>202201</v>
      </c>
      <c r="I6" s="22" cm="1">
        <f t="array" ref="I6">SUM(G6:G109*83/100)</f>
        <v>65120139.999999985</v>
      </c>
      <c r="J6" s="9" cm="1">
        <f t="array" ref="J6">SUM(G6:G109*17/100)</f>
        <v>13337859.999999996</v>
      </c>
      <c r="K6" s="4" t="str">
        <v>High Profit</v>
      </c>
      <c r="N6" s="6">
        <f>SUMIF(F3:F106,"70",G3:G106)</f>
        <v>267960</v>
      </c>
    </row>
    <row r="7" spans="1:19" x14ac:dyDescent="0.3">
      <c r="A7" s="10">
        <v>106</v>
      </c>
      <c r="B7" s="10" t="s">
        <v>25</v>
      </c>
      <c r="C7" s="10" t="s">
        <v>10</v>
      </c>
      <c r="D7" s="10">
        <v>15</v>
      </c>
      <c r="E7" s="10">
        <v>105</v>
      </c>
      <c r="F7" s="11">
        <v>600</v>
      </c>
      <c r="G7" s="11">
        <f t="shared" si="0"/>
        <v>63000</v>
      </c>
      <c r="H7" s="10">
        <v>202202</v>
      </c>
      <c r="I7" s="22" cm="1">
        <f t="array" ref="I7">SUM(G7:G110*83/100)</f>
        <v>64640565.999999985</v>
      </c>
      <c r="J7" s="9" cm="1">
        <f t="array" ref="J7">SUM(G7:G110*17/100)</f>
        <v>13239633.999999996</v>
      </c>
      <c r="K7" s="4" t="str">
        <v>High Profit</v>
      </c>
    </row>
    <row r="8" spans="1:19" x14ac:dyDescent="0.3">
      <c r="A8" s="10">
        <v>107</v>
      </c>
      <c r="B8" s="10" t="s">
        <v>26</v>
      </c>
      <c r="C8" s="10" t="s">
        <v>11</v>
      </c>
      <c r="D8" s="10">
        <v>16</v>
      </c>
      <c r="E8" s="10">
        <v>503</v>
      </c>
      <c r="F8" s="11">
        <v>350</v>
      </c>
      <c r="G8" s="11">
        <f t="shared" si="0"/>
        <v>176050</v>
      </c>
      <c r="H8" s="10">
        <v>202202</v>
      </c>
      <c r="I8" s="22" cm="1">
        <f t="array" ref="I8">SUM(G8:G111*83/100)</f>
        <v>64588275.999999985</v>
      </c>
      <c r="J8" s="9" cm="1">
        <f t="array" ref="J8">SUM(G8:G111*17/100)</f>
        <v>13228923.999999996</v>
      </c>
      <c r="K8" s="4" t="str">
        <v>High Profit</v>
      </c>
    </row>
    <row r="9" spans="1:19" x14ac:dyDescent="0.3">
      <c r="A9" s="10">
        <v>108</v>
      </c>
      <c r="B9" s="10" t="s">
        <v>27</v>
      </c>
      <c r="C9" s="10" t="s">
        <v>12</v>
      </c>
      <c r="D9" s="10">
        <v>17</v>
      </c>
      <c r="E9" s="10">
        <v>438</v>
      </c>
      <c r="F9" s="11">
        <v>270</v>
      </c>
      <c r="G9" s="11">
        <f t="shared" si="0"/>
        <v>118260</v>
      </c>
      <c r="H9" s="10">
        <v>202202</v>
      </c>
      <c r="I9" s="22" cm="1">
        <f t="array" ref="I9">SUM(G9:G112*83/100)</f>
        <v>64442154.499999985</v>
      </c>
      <c r="J9" s="9" cm="1">
        <f t="array" ref="J9">SUM(G9:G112*17/100)</f>
        <v>13198995.499999996</v>
      </c>
      <c r="K9" s="4" t="str">
        <v>High Profit</v>
      </c>
    </row>
    <row r="10" spans="1:19" x14ac:dyDescent="0.3">
      <c r="A10" s="10">
        <v>109</v>
      </c>
      <c r="B10" s="10" t="s">
        <v>28</v>
      </c>
      <c r="C10" s="10" t="s">
        <v>13</v>
      </c>
      <c r="D10" s="10">
        <v>18</v>
      </c>
      <c r="E10" s="10">
        <v>352</v>
      </c>
      <c r="F10" s="11">
        <v>250</v>
      </c>
      <c r="G10" s="11">
        <f t="shared" si="0"/>
        <v>88000</v>
      </c>
      <c r="H10" s="10">
        <v>202202</v>
      </c>
      <c r="I10" s="22" cm="1">
        <f t="array" ref="I10">SUM(G10:G113*83/100)</f>
        <v>64343998.699999988</v>
      </c>
      <c r="J10" s="9" cm="1">
        <f t="array" ref="J10">SUM(G10:G113*17/100)</f>
        <v>13178891.299999997</v>
      </c>
      <c r="K10" s="4" t="str">
        <v>High Profit</v>
      </c>
    </row>
    <row r="11" spans="1:19" x14ac:dyDescent="0.3">
      <c r="A11" s="10">
        <v>110</v>
      </c>
      <c r="B11" s="10" t="s">
        <v>29</v>
      </c>
      <c r="C11" s="10" t="s">
        <v>5</v>
      </c>
      <c r="D11" s="10">
        <v>19</v>
      </c>
      <c r="E11" s="10">
        <v>678</v>
      </c>
      <c r="F11" s="11">
        <v>2300</v>
      </c>
      <c r="G11" s="11">
        <f t="shared" si="0"/>
        <v>1559400</v>
      </c>
      <c r="H11" s="10">
        <v>202202</v>
      </c>
      <c r="I11" s="22" cm="1">
        <f t="array" ref="I11">SUM(G11:G114*83/100)</f>
        <v>64270958.699999988</v>
      </c>
      <c r="J11" s="9" cm="1">
        <f t="array" ref="J11">SUM(G11:G114*17/100)</f>
        <v>13163931.299999997</v>
      </c>
      <c r="K11" s="4" t="str">
        <v>High Profit</v>
      </c>
    </row>
    <row r="12" spans="1:19" x14ac:dyDescent="0.3">
      <c r="A12" s="10">
        <v>111</v>
      </c>
      <c r="B12" s="10" t="s">
        <v>30</v>
      </c>
      <c r="C12" s="10" t="s">
        <v>14</v>
      </c>
      <c r="D12" s="10">
        <v>20</v>
      </c>
      <c r="E12" s="10">
        <v>424</v>
      </c>
      <c r="F12" s="11">
        <v>6800</v>
      </c>
      <c r="G12" s="11">
        <f t="shared" si="0"/>
        <v>2883200</v>
      </c>
      <c r="H12" s="10">
        <v>202203</v>
      </c>
      <c r="I12" s="22" cm="1">
        <f t="array" ref="I12">SUM(G12:G115*83/100)</f>
        <v>62976656.699999988</v>
      </c>
      <c r="J12" s="9" cm="1">
        <f t="array" ref="J12">SUM(G12:G115*17/100)</f>
        <v>12898833.299999997</v>
      </c>
      <c r="K12" s="4" t="str">
        <v>High Profit</v>
      </c>
    </row>
    <row r="13" spans="1:19" x14ac:dyDescent="0.3">
      <c r="A13" s="10">
        <v>112</v>
      </c>
      <c r="B13" s="10" t="s">
        <v>31</v>
      </c>
      <c r="C13" s="10" t="s">
        <v>5</v>
      </c>
      <c r="D13" s="10">
        <v>10</v>
      </c>
      <c r="E13" s="10">
        <v>965</v>
      </c>
      <c r="F13" s="11">
        <v>900</v>
      </c>
      <c r="G13" s="11">
        <f t="shared" si="0"/>
        <v>868500</v>
      </c>
      <c r="H13" s="10">
        <v>202203</v>
      </c>
      <c r="I13" s="22" cm="1">
        <f t="array" ref="I13">SUM(G13:G116*83/100)</f>
        <v>60583600.699999988</v>
      </c>
      <c r="J13" s="9" cm="1">
        <f t="array" ref="J13">SUM(G13:G116*17/100)</f>
        <v>12408689.299999997</v>
      </c>
      <c r="K13" s="9" t="str">
        <v>High Profit</v>
      </c>
    </row>
    <row r="14" spans="1:19" x14ac:dyDescent="0.3">
      <c r="A14" s="10">
        <v>113</v>
      </c>
      <c r="B14" s="10" t="s">
        <v>32</v>
      </c>
      <c r="C14" s="10" t="s">
        <v>7</v>
      </c>
      <c r="D14" s="10">
        <v>11</v>
      </c>
      <c r="E14" s="10">
        <v>236</v>
      </c>
      <c r="F14" s="11">
        <v>1200</v>
      </c>
      <c r="G14" s="11">
        <f t="shared" si="0"/>
        <v>283200</v>
      </c>
      <c r="H14" s="10">
        <v>202203</v>
      </c>
      <c r="I14" s="22" cm="1">
        <f t="array" ref="I14">SUM(G14:G117*83/100)</f>
        <v>59862745.699999988</v>
      </c>
      <c r="J14" s="9" cm="1">
        <f t="array" ref="J14">SUM(G14:G117*17/100)</f>
        <v>12261044.299999997</v>
      </c>
      <c r="K14" s="4" t="str">
        <v>High Profit</v>
      </c>
    </row>
    <row r="15" spans="1:19" x14ac:dyDescent="0.3">
      <c r="A15" s="10">
        <v>114</v>
      </c>
      <c r="B15" s="10" t="s">
        <v>33</v>
      </c>
      <c r="C15" s="10" t="s">
        <v>6</v>
      </c>
      <c r="D15" s="10">
        <v>12</v>
      </c>
      <c r="E15" s="10">
        <v>463</v>
      </c>
      <c r="F15" s="11">
        <v>6600</v>
      </c>
      <c r="G15" s="11">
        <f t="shared" si="0"/>
        <v>3055800</v>
      </c>
      <c r="H15" s="10">
        <v>202203</v>
      </c>
      <c r="I15" s="22" cm="1">
        <f t="array" ref="I15">SUM(G15:G118*83/100)</f>
        <v>59627689.699999988</v>
      </c>
      <c r="J15" s="9" cm="1">
        <f t="array" ref="J15">SUM(G15:G118*17/100)</f>
        <v>12212900.299999997</v>
      </c>
      <c r="K15" s="9" t="str">
        <v>High Profit</v>
      </c>
    </row>
    <row r="16" spans="1:19" x14ac:dyDescent="0.3">
      <c r="A16" s="10">
        <v>115</v>
      </c>
      <c r="B16" s="10" t="s">
        <v>34</v>
      </c>
      <c r="C16" s="10" t="s">
        <v>13</v>
      </c>
      <c r="D16" s="10">
        <v>13</v>
      </c>
      <c r="E16" s="10">
        <v>198</v>
      </c>
      <c r="F16" s="11">
        <v>70</v>
      </c>
      <c r="G16" s="11">
        <f t="shared" si="0"/>
        <v>13860</v>
      </c>
      <c r="H16" s="10">
        <v>202203</v>
      </c>
      <c r="I16" s="22" cm="1">
        <f t="array" ref="I16">SUM(G16:G119*83/100)</f>
        <v>57091375.699999988</v>
      </c>
      <c r="J16" s="9" cm="1">
        <f t="array" ref="J16">SUM(G16:G119*17/100)</f>
        <v>11693414.299999999</v>
      </c>
      <c r="K16" s="4" t="str">
        <v>High Profit</v>
      </c>
    </row>
    <row r="17" spans="1:19" x14ac:dyDescent="0.3">
      <c r="A17" s="10">
        <v>116</v>
      </c>
      <c r="B17" s="10" t="s">
        <v>35</v>
      </c>
      <c r="C17" s="10" t="s">
        <v>12</v>
      </c>
      <c r="D17" s="10">
        <v>14</v>
      </c>
      <c r="E17" s="10">
        <v>673</v>
      </c>
      <c r="F17" s="11">
        <v>1800</v>
      </c>
      <c r="G17" s="11">
        <f t="shared" si="0"/>
        <v>1211400</v>
      </c>
      <c r="H17" s="10">
        <v>202204</v>
      </c>
      <c r="I17" s="22" cm="1">
        <f t="array" ref="I17">SUM(G17:G120*83/100)</f>
        <v>57079871.899999991</v>
      </c>
      <c r="J17" s="9" cm="1">
        <f t="array" ref="J17">SUM(G17:G120*17/100)</f>
        <v>11691058.099999998</v>
      </c>
      <c r="K17" s="4" t="str">
        <v>High Profit</v>
      </c>
    </row>
    <row r="18" spans="1:19" ht="15" thickBot="1" x14ac:dyDescent="0.35">
      <c r="A18" s="10">
        <v>117</v>
      </c>
      <c r="B18" s="10" t="s">
        <v>36</v>
      </c>
      <c r="C18" s="10" t="s">
        <v>11</v>
      </c>
      <c r="D18" s="10">
        <v>15</v>
      </c>
      <c r="E18" s="10">
        <v>392</v>
      </c>
      <c r="F18" s="11">
        <v>600</v>
      </c>
      <c r="G18" s="11">
        <f t="shared" si="0"/>
        <v>235200</v>
      </c>
      <c r="H18" s="10">
        <v>202204</v>
      </c>
      <c r="I18" s="22" cm="1">
        <f t="array" ref="I18">SUM(G18:G121*83/100)</f>
        <v>56074409.899999991</v>
      </c>
      <c r="J18" s="9" cm="1">
        <f t="array" ref="J18">SUM(G18:G121*17/100)</f>
        <v>11485120.099999998</v>
      </c>
      <c r="K18" s="4" t="str">
        <v>High Profit</v>
      </c>
    </row>
    <row r="19" spans="1:19" ht="15" thickBot="1" x14ac:dyDescent="0.35">
      <c r="A19" s="10">
        <v>118</v>
      </c>
      <c r="B19" s="10" t="s">
        <v>37</v>
      </c>
      <c r="C19" s="10" t="s">
        <v>5</v>
      </c>
      <c r="D19" s="10">
        <v>16</v>
      </c>
      <c r="E19" s="10">
        <v>851</v>
      </c>
      <c r="F19" s="11">
        <v>350</v>
      </c>
      <c r="G19" s="11">
        <f t="shared" si="0"/>
        <v>297850</v>
      </c>
      <c r="H19" s="10">
        <v>202204</v>
      </c>
      <c r="I19" s="22" cm="1">
        <f t="array" ref="I19">SUM(G19:G122*83/100)</f>
        <v>55879193.899999991</v>
      </c>
      <c r="J19" s="9" cm="1">
        <f t="array" ref="J19">SUM(G19:G122*17/100)</f>
        <v>11445136.099999998</v>
      </c>
      <c r="K19" s="4" t="str">
        <v>High Profit</v>
      </c>
      <c r="M19" s="7" t="s">
        <v>128</v>
      </c>
      <c r="N19" s="10">
        <v>107</v>
      </c>
    </row>
    <row r="20" spans="1:19" x14ac:dyDescent="0.3">
      <c r="A20" s="10">
        <v>119</v>
      </c>
      <c r="B20" s="10" t="s">
        <v>38</v>
      </c>
      <c r="C20" s="10" t="s">
        <v>9</v>
      </c>
      <c r="D20" s="10">
        <v>17</v>
      </c>
      <c r="E20" s="10">
        <v>425</v>
      </c>
      <c r="F20" s="11">
        <v>270</v>
      </c>
      <c r="G20" s="11">
        <f t="shared" si="0"/>
        <v>114750</v>
      </c>
      <c r="H20" s="10">
        <v>202204</v>
      </c>
      <c r="I20" s="22" cm="1">
        <f t="array" ref="I20">SUM(G20:G123*83/100)</f>
        <v>55631978.399999991</v>
      </c>
      <c r="J20" s="9" cm="1">
        <f t="array" ref="J20">SUM(G20:G123*17/100)</f>
        <v>11394501.599999998</v>
      </c>
      <c r="K20" s="4" t="str">
        <v>High Profit</v>
      </c>
    </row>
    <row r="21" spans="1:19" ht="21" x14ac:dyDescent="0.4">
      <c r="A21" s="10">
        <v>120</v>
      </c>
      <c r="B21" s="10" t="s">
        <v>39</v>
      </c>
      <c r="C21" s="10" t="s">
        <v>15</v>
      </c>
      <c r="D21" s="10">
        <v>18</v>
      </c>
      <c r="E21" s="10">
        <v>294</v>
      </c>
      <c r="F21" s="11">
        <v>250</v>
      </c>
      <c r="G21" s="11">
        <f t="shared" si="0"/>
        <v>73500</v>
      </c>
      <c r="H21" s="10">
        <v>202204</v>
      </c>
      <c r="I21" s="22" cm="1">
        <f t="array" ref="I21">SUM(G21:G124*83/100)</f>
        <v>55536735.899999991</v>
      </c>
      <c r="J21" s="9" cm="1">
        <f t="array" ref="J21">SUM(G21:G124*17/100)</f>
        <v>11374994.099999998</v>
      </c>
      <c r="K21" s="4" t="str">
        <v>High Profit</v>
      </c>
      <c r="M21" s="21" t="s">
        <v>123</v>
      </c>
      <c r="N21" s="21"/>
      <c r="O21" s="21"/>
      <c r="P21" s="21"/>
      <c r="Q21" s="21"/>
      <c r="R21" s="21"/>
      <c r="S21" s="21"/>
    </row>
    <row r="22" spans="1:19" x14ac:dyDescent="0.3">
      <c r="A22" s="10">
        <v>121</v>
      </c>
      <c r="B22" s="10" t="s">
        <v>40</v>
      </c>
      <c r="C22" s="10" t="s">
        <v>16</v>
      </c>
      <c r="D22" s="10">
        <v>19</v>
      </c>
      <c r="E22" s="10">
        <v>383</v>
      </c>
      <c r="F22" s="11">
        <v>2300</v>
      </c>
      <c r="G22" s="11">
        <f t="shared" si="0"/>
        <v>880900</v>
      </c>
      <c r="H22" s="10">
        <v>202205</v>
      </c>
      <c r="I22" s="22" cm="1">
        <f t="array" ref="I22">SUM(G22:G125*83/100)</f>
        <v>55475730.899999991</v>
      </c>
      <c r="J22" s="9" cm="1">
        <f t="array" ref="J22">SUM(G22:G125*17/100)</f>
        <v>11362499.099999998</v>
      </c>
      <c r="K22" s="4" t="str">
        <v>High Profit</v>
      </c>
      <c r="M22" s="5" t="s">
        <v>2</v>
      </c>
      <c r="N22" s="5" t="s">
        <v>17</v>
      </c>
      <c r="O22" s="5" t="s">
        <v>3</v>
      </c>
      <c r="P22" s="5" t="s">
        <v>0</v>
      </c>
      <c r="Q22" s="5" t="s">
        <v>19</v>
      </c>
      <c r="R22" s="5" t="s">
        <v>18</v>
      </c>
      <c r="S22" s="5" t="s">
        <v>4</v>
      </c>
    </row>
    <row r="23" spans="1:19" x14ac:dyDescent="0.3">
      <c r="A23" s="10">
        <v>122</v>
      </c>
      <c r="B23" s="10" t="s">
        <v>41</v>
      </c>
      <c r="C23" s="10" t="s">
        <v>8</v>
      </c>
      <c r="D23" s="10">
        <v>20</v>
      </c>
      <c r="E23" s="10">
        <v>298</v>
      </c>
      <c r="F23" s="11">
        <v>6800</v>
      </c>
      <c r="G23" s="11">
        <f t="shared" si="0"/>
        <v>2026400</v>
      </c>
      <c r="H23" s="10">
        <v>202205</v>
      </c>
      <c r="I23" s="22" cm="1">
        <f t="array" ref="I23">SUM(G23:G126*83/100)</f>
        <v>54744583.899999991</v>
      </c>
      <c r="J23" s="9" cm="1">
        <f t="array" ref="J23">SUM(G23:G126*17/100)</f>
        <v>11212746.099999998</v>
      </c>
      <c r="K23" s="4" t="str">
        <v>High Profit</v>
      </c>
      <c r="M23" t="str">
        <f>VLOOKUP(N19,A1:F105,2,FALSE)</f>
        <v>Gaily</v>
      </c>
      <c r="N23" s="4" t="str">
        <f>VLOOKUP(N19,A1:H105,3,FALSE)</f>
        <v>PE</v>
      </c>
      <c r="O23" s="4">
        <f>VLOOKUP(N19,A1:H105,5,FALSE)</f>
        <v>503</v>
      </c>
      <c r="P23" s="4">
        <f>VLOOKUP(N19,A1:H105,5,FALSE)</f>
        <v>503</v>
      </c>
      <c r="Q23" s="4">
        <f>VLOOKUP(N19,A1:H105,6,FALSE)</f>
        <v>350</v>
      </c>
      <c r="R23" s="4">
        <f>VLOOKUP(N19,A1:H105,7,FALSE)</f>
        <v>176050</v>
      </c>
      <c r="S23" s="4">
        <f>VLOOKUP(N19,A1:H105,8,FALSE)</f>
        <v>202202</v>
      </c>
    </row>
    <row r="24" spans="1:19" x14ac:dyDescent="0.3">
      <c r="A24" s="10">
        <v>123</v>
      </c>
      <c r="B24" s="10" t="s">
        <v>42</v>
      </c>
      <c r="C24" s="10" t="s">
        <v>12</v>
      </c>
      <c r="D24" s="10">
        <v>10</v>
      </c>
      <c r="E24" s="10">
        <v>283</v>
      </c>
      <c r="F24" s="11">
        <v>900</v>
      </c>
      <c r="G24" s="11">
        <f t="shared" si="0"/>
        <v>254700</v>
      </c>
      <c r="H24" s="10">
        <v>202205</v>
      </c>
      <c r="I24" s="22" cm="1">
        <f t="array" ref="I24">SUM(G24:G127*83/100)</f>
        <v>53062671.899999991</v>
      </c>
      <c r="J24" s="9" cm="1">
        <f t="array" ref="J24">SUM(G24:G127*17/100)</f>
        <v>10868258.1</v>
      </c>
      <c r="K24" s="4" t="str">
        <v>High Profit</v>
      </c>
    </row>
    <row r="25" spans="1:19" x14ac:dyDescent="0.3">
      <c r="A25" s="10">
        <v>124</v>
      </c>
      <c r="B25" s="10" t="s">
        <v>43</v>
      </c>
      <c r="C25" s="10" t="s">
        <v>7</v>
      </c>
      <c r="D25" s="10">
        <v>11</v>
      </c>
      <c r="E25" s="10">
        <v>593</v>
      </c>
      <c r="F25" s="11">
        <v>1200</v>
      </c>
      <c r="G25" s="11">
        <f t="shared" si="0"/>
        <v>711600</v>
      </c>
      <c r="H25" s="10">
        <v>202205</v>
      </c>
      <c r="I25" s="22" cm="1">
        <f t="array" ref="I25">SUM(G25:G128*83/100)</f>
        <v>52851270.899999991</v>
      </c>
      <c r="J25" s="9" cm="1">
        <f t="array" ref="J25">SUM(G25:G128*17/100)</f>
        <v>10824959.1</v>
      </c>
      <c r="K25" s="4" t="str">
        <v>High Profit</v>
      </c>
    </row>
    <row r="26" spans="1:19" x14ac:dyDescent="0.3">
      <c r="A26" s="10">
        <v>125</v>
      </c>
      <c r="B26" s="10" t="s">
        <v>44</v>
      </c>
      <c r="C26" s="10" t="s">
        <v>6</v>
      </c>
      <c r="D26" s="10">
        <v>12</v>
      </c>
      <c r="E26" s="10">
        <v>296</v>
      </c>
      <c r="F26" s="11">
        <v>6600</v>
      </c>
      <c r="G26" s="11">
        <f t="shared" si="0"/>
        <v>1953600</v>
      </c>
      <c r="H26" s="10">
        <v>202206</v>
      </c>
      <c r="I26" s="22" cm="1">
        <f t="array" ref="I26">SUM(G26:G129*83/100)</f>
        <v>52260642.899999991</v>
      </c>
      <c r="J26" s="9" cm="1">
        <f t="array" ref="J26">SUM(G26:G129*17/100)</f>
        <v>10703987.1</v>
      </c>
      <c r="K26" s="4" t="str">
        <v>High Profit</v>
      </c>
    </row>
    <row r="27" spans="1:19" x14ac:dyDescent="0.3">
      <c r="A27" s="10">
        <v>126</v>
      </c>
      <c r="B27" s="10" t="s">
        <v>45</v>
      </c>
      <c r="C27" s="10" t="s">
        <v>15</v>
      </c>
      <c r="D27" s="10">
        <v>13</v>
      </c>
      <c r="E27" s="10">
        <v>519</v>
      </c>
      <c r="F27" s="11">
        <v>70</v>
      </c>
      <c r="G27" s="11">
        <f t="shared" si="0"/>
        <v>36330</v>
      </c>
      <c r="H27" s="10">
        <v>202206</v>
      </c>
      <c r="I27" s="22" cm="1">
        <f t="array" ref="I27">SUM(G27:G130*83/100)</f>
        <v>50639154.899999991</v>
      </c>
      <c r="J27" s="9" cm="1">
        <f t="array" ref="J27">SUM(G27:G130*17/100)</f>
        <v>10371875.1</v>
      </c>
      <c r="K27" s="4" t="str">
        <v>High Profit</v>
      </c>
    </row>
    <row r="28" spans="1:19" x14ac:dyDescent="0.3">
      <c r="A28" s="10">
        <v>127</v>
      </c>
      <c r="B28" s="10" t="s">
        <v>46</v>
      </c>
      <c r="C28" s="10" t="s">
        <v>5</v>
      </c>
      <c r="D28" s="10">
        <v>10</v>
      </c>
      <c r="E28" s="10">
        <v>800</v>
      </c>
      <c r="F28" s="11">
        <v>900</v>
      </c>
      <c r="G28" s="11">
        <f t="shared" si="0"/>
        <v>720000</v>
      </c>
      <c r="H28" s="10">
        <v>202206</v>
      </c>
      <c r="I28" s="22" cm="1">
        <f t="array" ref="I28">SUM(G28:G131*83/100)</f>
        <v>50609000.999999993</v>
      </c>
      <c r="J28" s="9" cm="1">
        <f t="array" ref="J28">SUM(G28:G131*17/100)</f>
        <v>10365699</v>
      </c>
      <c r="K28" s="4" t="str">
        <v>High Profit</v>
      </c>
    </row>
    <row r="29" spans="1:19" x14ac:dyDescent="0.3">
      <c r="A29" s="10">
        <v>128</v>
      </c>
      <c r="B29" s="10" t="s">
        <v>47</v>
      </c>
      <c r="C29" s="10" t="s">
        <v>6</v>
      </c>
      <c r="D29" s="10">
        <v>11</v>
      </c>
      <c r="E29" s="10">
        <v>104</v>
      </c>
      <c r="F29" s="11">
        <v>1200</v>
      </c>
      <c r="G29" s="11">
        <f t="shared" si="0"/>
        <v>124800</v>
      </c>
      <c r="H29" s="10">
        <v>202206</v>
      </c>
      <c r="I29" s="22" cm="1">
        <f t="array" ref="I29">SUM(G29:G132*83/100)</f>
        <v>50011400.999999993</v>
      </c>
      <c r="J29" s="9" cm="1">
        <f t="array" ref="J29">SUM(G29:G132*17/100)</f>
        <v>10243298.999999998</v>
      </c>
      <c r="K29" s="4" t="str">
        <v>High Profit</v>
      </c>
    </row>
    <row r="30" spans="1:19" x14ac:dyDescent="0.3">
      <c r="A30" s="10">
        <v>129</v>
      </c>
      <c r="B30" s="10" t="s">
        <v>48</v>
      </c>
      <c r="C30" s="10" t="s">
        <v>7</v>
      </c>
      <c r="D30" s="10">
        <v>12</v>
      </c>
      <c r="E30" s="10">
        <v>300</v>
      </c>
      <c r="F30" s="11">
        <v>6600</v>
      </c>
      <c r="G30" s="11">
        <f t="shared" si="0"/>
        <v>1980000</v>
      </c>
      <c r="H30" s="10">
        <v>202207</v>
      </c>
      <c r="I30" s="22" cm="1">
        <f t="array" ref="I30">SUM(G30:G133*83/100)</f>
        <v>49907816.999999993</v>
      </c>
      <c r="J30" s="9" cm="1">
        <f t="array" ref="J30">SUM(G30:G133*17/100)</f>
        <v>10222082.999999998</v>
      </c>
      <c r="K30" s="4" t="str">
        <v>High Profit</v>
      </c>
    </row>
    <row r="31" spans="1:19" x14ac:dyDescent="0.3">
      <c r="A31" s="10">
        <v>130</v>
      </c>
      <c r="B31" s="10" t="s">
        <v>49</v>
      </c>
      <c r="C31" s="10" t="s">
        <v>8</v>
      </c>
      <c r="D31" s="10">
        <v>13</v>
      </c>
      <c r="E31" s="10">
        <v>240</v>
      </c>
      <c r="F31" s="11">
        <v>70</v>
      </c>
      <c r="G31" s="11">
        <f t="shared" si="0"/>
        <v>16800</v>
      </c>
      <c r="H31" s="10">
        <v>202207</v>
      </c>
      <c r="I31" s="22" cm="1">
        <f t="array" ref="I31">SUM(G31:G134*83/100)</f>
        <v>48264416.999999993</v>
      </c>
      <c r="J31" s="9" cm="1">
        <f t="array" ref="J31">SUM(G31:G134*17/100)</f>
        <v>9885482.9999999981</v>
      </c>
      <c r="K31" s="4" t="str">
        <v>High Profit</v>
      </c>
    </row>
    <row r="32" spans="1:19" x14ac:dyDescent="0.3">
      <c r="A32" s="10">
        <v>131</v>
      </c>
      <c r="B32" s="10" t="s">
        <v>50</v>
      </c>
      <c r="C32" s="10" t="s">
        <v>9</v>
      </c>
      <c r="D32" s="10">
        <v>14</v>
      </c>
      <c r="E32" s="10">
        <v>321</v>
      </c>
      <c r="F32" s="11">
        <v>1800</v>
      </c>
      <c r="G32" s="11">
        <f t="shared" si="0"/>
        <v>577800</v>
      </c>
      <c r="H32" s="10">
        <v>202207</v>
      </c>
      <c r="I32" s="22" cm="1">
        <f t="array" ref="I32">SUM(G32:G135*83/100)</f>
        <v>48250472.999999993</v>
      </c>
      <c r="J32" s="9" cm="1">
        <f t="array" ref="J32">SUM(G32:G135*17/100)</f>
        <v>9882626.9999999981</v>
      </c>
      <c r="K32" s="4" t="str">
        <v>High Profit</v>
      </c>
    </row>
    <row r="33" spans="1:11" x14ac:dyDescent="0.3">
      <c r="A33" s="10">
        <v>132</v>
      </c>
      <c r="B33" s="10" t="s">
        <v>51</v>
      </c>
      <c r="C33" s="10" t="s">
        <v>10</v>
      </c>
      <c r="D33" s="10">
        <v>15</v>
      </c>
      <c r="E33" s="10">
        <v>105</v>
      </c>
      <c r="F33" s="11">
        <v>600</v>
      </c>
      <c r="G33" s="11">
        <f t="shared" si="0"/>
        <v>63000</v>
      </c>
      <c r="H33" s="10">
        <v>202207</v>
      </c>
      <c r="I33" s="22" cm="1">
        <f t="array" ref="I33">SUM(G33:G136*83/100)</f>
        <v>47770898.999999993</v>
      </c>
      <c r="J33" s="9" cm="1">
        <f t="array" ref="J33">SUM(G33:G136*17/100)</f>
        <v>9784400.9999999981</v>
      </c>
      <c r="K33" s="4" t="str">
        <v>High Profit</v>
      </c>
    </row>
    <row r="34" spans="1:11" x14ac:dyDescent="0.3">
      <c r="A34" s="10">
        <v>133</v>
      </c>
      <c r="B34" s="10" t="s">
        <v>52</v>
      </c>
      <c r="C34" s="10" t="s">
        <v>11</v>
      </c>
      <c r="D34" s="10">
        <v>16</v>
      </c>
      <c r="E34" s="10">
        <v>503</v>
      </c>
      <c r="F34" s="11">
        <v>350</v>
      </c>
      <c r="G34" s="11">
        <f t="shared" si="0"/>
        <v>176050</v>
      </c>
      <c r="H34" s="10">
        <v>202207</v>
      </c>
      <c r="I34" s="22" cm="1">
        <f t="array" ref="I34">SUM(G34:G137*83/100)</f>
        <v>47718608.999999993</v>
      </c>
      <c r="J34" s="9" cm="1">
        <f t="array" ref="J34">SUM(G34:G137*17/100)</f>
        <v>9773690.9999999981</v>
      </c>
      <c r="K34" s="4" t="str">
        <v>High Profit</v>
      </c>
    </row>
    <row r="35" spans="1:11" x14ac:dyDescent="0.3">
      <c r="A35" s="10">
        <v>134</v>
      </c>
      <c r="B35" s="10" t="s">
        <v>53</v>
      </c>
      <c r="C35" s="10" t="s">
        <v>12</v>
      </c>
      <c r="D35" s="10">
        <v>17</v>
      </c>
      <c r="E35" s="10">
        <v>438</v>
      </c>
      <c r="F35" s="11">
        <v>270</v>
      </c>
      <c r="G35" s="11">
        <f t="shared" si="0"/>
        <v>118260</v>
      </c>
      <c r="H35" s="10">
        <v>202208</v>
      </c>
      <c r="I35" s="22" cm="1">
        <f t="array" ref="I35">SUM(G35:G138*83/100)</f>
        <v>47572487.499999993</v>
      </c>
      <c r="J35" s="9" cm="1">
        <f t="array" ref="J35">SUM(G35:G138*17/100)</f>
        <v>9743762.4999999981</v>
      </c>
      <c r="K35" s="4" t="str">
        <v>High Profit</v>
      </c>
    </row>
    <row r="36" spans="1:11" x14ac:dyDescent="0.3">
      <c r="A36" s="10">
        <v>135</v>
      </c>
      <c r="B36" s="10" t="s">
        <v>54</v>
      </c>
      <c r="C36" s="10" t="s">
        <v>13</v>
      </c>
      <c r="D36" s="10">
        <v>18</v>
      </c>
      <c r="E36" s="10">
        <v>352</v>
      </c>
      <c r="F36" s="11">
        <v>250</v>
      </c>
      <c r="G36" s="11">
        <f t="shared" si="0"/>
        <v>88000</v>
      </c>
      <c r="H36" s="10">
        <v>202208</v>
      </c>
      <c r="I36" s="22" cm="1">
        <f t="array" ref="I36">SUM(G36:G139*83/100)</f>
        <v>47474331.699999996</v>
      </c>
      <c r="J36" s="9" cm="1">
        <f t="array" ref="J36">SUM(G36:G139*17/100)</f>
        <v>9723658.2999999989</v>
      </c>
      <c r="K36" s="4" t="str">
        <v>High Profit</v>
      </c>
    </row>
    <row r="37" spans="1:11" x14ac:dyDescent="0.3">
      <c r="A37" s="10">
        <v>136</v>
      </c>
      <c r="B37" s="10" t="s">
        <v>55</v>
      </c>
      <c r="C37" s="10" t="s">
        <v>5</v>
      </c>
      <c r="D37" s="10">
        <v>19</v>
      </c>
      <c r="E37" s="10">
        <v>678</v>
      </c>
      <c r="F37" s="11">
        <v>2300</v>
      </c>
      <c r="G37" s="11">
        <f t="shared" si="0"/>
        <v>1559400</v>
      </c>
      <c r="H37" s="10">
        <v>202208</v>
      </c>
      <c r="I37" s="22" cm="1">
        <f t="array" ref="I37">SUM(G37:G140*83/100)</f>
        <v>47401291.699999996</v>
      </c>
      <c r="J37" s="9" cm="1">
        <f t="array" ref="J37">SUM(G37:G140*17/100)</f>
        <v>9708698.2999999989</v>
      </c>
      <c r="K37" s="4" t="str">
        <v>High Profit</v>
      </c>
    </row>
    <row r="38" spans="1:11" x14ac:dyDescent="0.3">
      <c r="A38" s="10">
        <v>137</v>
      </c>
      <c r="B38" s="10" t="s">
        <v>56</v>
      </c>
      <c r="C38" s="10" t="s">
        <v>14</v>
      </c>
      <c r="D38" s="10">
        <v>20</v>
      </c>
      <c r="E38" s="10">
        <v>424</v>
      </c>
      <c r="F38" s="11">
        <v>6800</v>
      </c>
      <c r="G38" s="11">
        <f t="shared" si="0"/>
        <v>2883200</v>
      </c>
      <c r="H38" s="10">
        <v>202208</v>
      </c>
      <c r="I38" s="22" cm="1">
        <f t="array" ref="I38">SUM(G38:G141*83/100)</f>
        <v>46106989.699999996</v>
      </c>
      <c r="J38" s="9" cm="1">
        <f t="array" ref="J38">SUM(G38:G141*17/100)</f>
        <v>9443600.2999999989</v>
      </c>
      <c r="K38" s="4" t="str">
        <v>High Profit</v>
      </c>
    </row>
    <row r="39" spans="1:11" x14ac:dyDescent="0.3">
      <c r="A39" s="10">
        <v>138</v>
      </c>
      <c r="B39" s="10" t="s">
        <v>57</v>
      </c>
      <c r="C39" s="10" t="s">
        <v>5</v>
      </c>
      <c r="D39" s="10">
        <v>10</v>
      </c>
      <c r="E39" s="10">
        <v>965</v>
      </c>
      <c r="F39" s="11">
        <v>900</v>
      </c>
      <c r="G39" s="11">
        <f t="shared" si="0"/>
        <v>868500</v>
      </c>
      <c r="H39" s="10">
        <v>202209</v>
      </c>
      <c r="I39" s="22" cm="1">
        <f t="array" ref="I39">SUM(G39:G142*83/100)</f>
        <v>43713933.699999996</v>
      </c>
      <c r="J39" s="9" cm="1">
        <f t="array" ref="J39">SUM(G39:G142*17/100)</f>
        <v>8953456.2999999989</v>
      </c>
      <c r="K39" s="4" t="str">
        <v>High Profit</v>
      </c>
    </row>
    <row r="40" spans="1:11" x14ac:dyDescent="0.3">
      <c r="A40" s="10">
        <v>139</v>
      </c>
      <c r="B40" s="10" t="s">
        <v>58</v>
      </c>
      <c r="C40" s="10" t="s">
        <v>7</v>
      </c>
      <c r="D40" s="10">
        <v>11</v>
      </c>
      <c r="E40" s="10">
        <v>236</v>
      </c>
      <c r="F40" s="11">
        <v>1200</v>
      </c>
      <c r="G40" s="11">
        <f t="shared" si="0"/>
        <v>283200</v>
      </c>
      <c r="H40" s="10">
        <v>202209</v>
      </c>
      <c r="I40" s="22" cm="1">
        <f t="array" ref="I40">SUM(G40:G143*83/100)</f>
        <v>42993078.699999996</v>
      </c>
      <c r="J40" s="9" cm="1">
        <f t="array" ref="J40">SUM(G40:G143*17/100)</f>
        <v>8805811.2999999989</v>
      </c>
      <c r="K40" s="4" t="str">
        <v>High Profit</v>
      </c>
    </row>
    <row r="41" spans="1:11" x14ac:dyDescent="0.3">
      <c r="A41" s="10">
        <v>140</v>
      </c>
      <c r="B41" s="10" t="s">
        <v>59</v>
      </c>
      <c r="C41" s="10" t="s">
        <v>6</v>
      </c>
      <c r="D41" s="10">
        <v>12</v>
      </c>
      <c r="E41" s="10">
        <v>463</v>
      </c>
      <c r="F41" s="11">
        <v>6600</v>
      </c>
      <c r="G41" s="11">
        <f t="shared" si="0"/>
        <v>3055800</v>
      </c>
      <c r="H41" s="10">
        <v>202209</v>
      </c>
      <c r="I41" s="22" cm="1">
        <f t="array" ref="I41">SUM(G41:G144*83/100)</f>
        <v>42758022.699999996</v>
      </c>
      <c r="J41" s="9" cm="1">
        <f t="array" ref="J41">SUM(G41:G144*17/100)</f>
        <v>8757667.2999999989</v>
      </c>
      <c r="K41" s="4" t="str">
        <v>High Profit</v>
      </c>
    </row>
    <row r="42" spans="1:11" x14ac:dyDescent="0.3">
      <c r="A42" s="10">
        <v>141</v>
      </c>
      <c r="B42" s="10" t="s">
        <v>60</v>
      </c>
      <c r="C42" s="10" t="s">
        <v>13</v>
      </c>
      <c r="D42" s="10">
        <v>13</v>
      </c>
      <c r="E42" s="10">
        <v>198</v>
      </c>
      <c r="F42" s="11">
        <v>70</v>
      </c>
      <c r="G42" s="11">
        <f t="shared" si="0"/>
        <v>13860</v>
      </c>
      <c r="H42" s="10">
        <v>202209</v>
      </c>
      <c r="I42" s="22" cm="1">
        <f t="array" ref="I42">SUM(G42:G145*83/100)</f>
        <v>40221708.699999996</v>
      </c>
      <c r="J42" s="9" cm="1">
        <f t="array" ref="J42">SUM(G42:G145*17/100)</f>
        <v>8238181.2999999998</v>
      </c>
      <c r="K42" s="4" t="str">
        <v>High Profit</v>
      </c>
    </row>
    <row r="43" spans="1:11" x14ac:dyDescent="0.3">
      <c r="A43" s="10">
        <v>142</v>
      </c>
      <c r="B43" s="10" t="s">
        <v>61</v>
      </c>
      <c r="C43" s="10" t="s">
        <v>12</v>
      </c>
      <c r="D43" s="10">
        <v>14</v>
      </c>
      <c r="E43" s="10">
        <v>673</v>
      </c>
      <c r="F43" s="11">
        <v>1800</v>
      </c>
      <c r="G43" s="11">
        <f t="shared" si="0"/>
        <v>1211400</v>
      </c>
      <c r="H43" s="10">
        <v>202209</v>
      </c>
      <c r="I43" s="22" cm="1">
        <f t="array" ref="I43">SUM(G43:G146*83/100)</f>
        <v>40210204.899999999</v>
      </c>
      <c r="J43" s="9" cm="1">
        <f t="array" ref="J43">SUM(G43:G146*17/100)</f>
        <v>8235825.0999999996</v>
      </c>
      <c r="K43" s="4" t="str">
        <v>High Profit</v>
      </c>
    </row>
    <row r="44" spans="1:11" x14ac:dyDescent="0.3">
      <c r="A44" s="10">
        <v>143</v>
      </c>
      <c r="B44" s="10" t="s">
        <v>62</v>
      </c>
      <c r="C44" s="10" t="s">
        <v>11</v>
      </c>
      <c r="D44" s="10">
        <v>15</v>
      </c>
      <c r="E44" s="10">
        <v>392</v>
      </c>
      <c r="F44" s="11">
        <v>600</v>
      </c>
      <c r="G44" s="11">
        <f t="shared" si="0"/>
        <v>235200</v>
      </c>
      <c r="H44" s="10">
        <v>202210</v>
      </c>
      <c r="I44" s="22" cm="1">
        <f t="array" ref="I44">SUM(G44:G147*83/100)</f>
        <v>39204742.899999999</v>
      </c>
      <c r="J44" s="9" cm="1">
        <f t="array" ref="J44">SUM(G44:G147*17/100)</f>
        <v>8029887.0999999996</v>
      </c>
      <c r="K44" s="4" t="str">
        <v>High Profit</v>
      </c>
    </row>
    <row r="45" spans="1:11" x14ac:dyDescent="0.3">
      <c r="A45" s="10">
        <v>144</v>
      </c>
      <c r="B45" s="10" t="s">
        <v>63</v>
      </c>
      <c r="C45" s="10" t="s">
        <v>5</v>
      </c>
      <c r="D45" s="10">
        <v>16</v>
      </c>
      <c r="E45" s="10">
        <v>851</v>
      </c>
      <c r="F45" s="11">
        <v>350</v>
      </c>
      <c r="G45" s="11">
        <f t="shared" si="0"/>
        <v>297850</v>
      </c>
      <c r="H45" s="10">
        <v>202210</v>
      </c>
      <c r="I45" s="22" cm="1">
        <f t="array" ref="I45">SUM(G45:G148*83/100)</f>
        <v>39009526.899999999</v>
      </c>
      <c r="J45" s="9" cm="1">
        <f t="array" ref="J45">SUM(G45:G148*17/100)</f>
        <v>7989903.0999999996</v>
      </c>
      <c r="K45" s="4" t="str">
        <v>High Profit</v>
      </c>
    </row>
    <row r="46" spans="1:11" x14ac:dyDescent="0.3">
      <c r="A46" s="10">
        <v>145</v>
      </c>
      <c r="B46" s="10" t="s">
        <v>64</v>
      </c>
      <c r="C46" s="10" t="s">
        <v>9</v>
      </c>
      <c r="D46" s="10">
        <v>17</v>
      </c>
      <c r="E46" s="10">
        <v>425</v>
      </c>
      <c r="F46" s="11">
        <v>270</v>
      </c>
      <c r="G46" s="11">
        <f t="shared" si="0"/>
        <v>114750</v>
      </c>
      <c r="H46" s="10">
        <v>202210</v>
      </c>
      <c r="I46" s="22" cm="1">
        <f t="array" ref="I46">SUM(G46:G149*83/100)</f>
        <v>38762311.399999999</v>
      </c>
      <c r="J46" s="9" cm="1">
        <f t="array" ref="J46">SUM(G46:G149*17/100)</f>
        <v>7939268.5999999996</v>
      </c>
      <c r="K46" s="4" t="str">
        <v>High Profit</v>
      </c>
    </row>
    <row r="47" spans="1:11" x14ac:dyDescent="0.3">
      <c r="A47" s="10">
        <v>146</v>
      </c>
      <c r="B47" s="10" t="s">
        <v>65</v>
      </c>
      <c r="C47" s="10" t="s">
        <v>15</v>
      </c>
      <c r="D47" s="10">
        <v>18</v>
      </c>
      <c r="E47" s="10">
        <v>294</v>
      </c>
      <c r="F47" s="11">
        <v>250</v>
      </c>
      <c r="G47" s="11">
        <f t="shared" si="0"/>
        <v>73500</v>
      </c>
      <c r="H47" s="10">
        <v>202210</v>
      </c>
      <c r="I47" s="22" cm="1">
        <f t="array" ref="I47">SUM(G47:G150*83/100)</f>
        <v>38667068.899999999</v>
      </c>
      <c r="J47" s="9" cm="1">
        <f t="array" ref="J47">SUM(G47:G150*17/100)</f>
        <v>7919761.0999999996</v>
      </c>
      <c r="K47" s="4" t="str">
        <v>High Profit</v>
      </c>
    </row>
    <row r="48" spans="1:11" x14ac:dyDescent="0.3">
      <c r="A48" s="10">
        <v>147</v>
      </c>
      <c r="B48" s="10" t="s">
        <v>66</v>
      </c>
      <c r="C48" s="10" t="s">
        <v>16</v>
      </c>
      <c r="D48" s="10">
        <v>19</v>
      </c>
      <c r="E48" s="10">
        <v>383</v>
      </c>
      <c r="F48" s="11">
        <v>2300</v>
      </c>
      <c r="G48" s="11">
        <f t="shared" si="0"/>
        <v>880900</v>
      </c>
      <c r="H48" s="10">
        <v>202210</v>
      </c>
      <c r="I48" s="22" cm="1">
        <f t="array" ref="I48">SUM(G48:G151*83/100)</f>
        <v>38606063.899999999</v>
      </c>
      <c r="J48" s="9" cm="1">
        <f t="array" ref="J48">SUM(G48:G151*17/100)</f>
        <v>7907266.0999999996</v>
      </c>
      <c r="K48" s="4" t="str">
        <v>High Profit</v>
      </c>
    </row>
    <row r="49" spans="1:11" x14ac:dyDescent="0.3">
      <c r="A49" s="10">
        <v>148</v>
      </c>
      <c r="B49" s="10" t="s">
        <v>67</v>
      </c>
      <c r="C49" s="10" t="s">
        <v>8</v>
      </c>
      <c r="D49" s="10">
        <v>20</v>
      </c>
      <c r="E49" s="10">
        <v>298</v>
      </c>
      <c r="F49" s="11">
        <v>6800</v>
      </c>
      <c r="G49" s="11">
        <f t="shared" si="0"/>
        <v>2026400</v>
      </c>
      <c r="H49" s="10">
        <v>202211</v>
      </c>
      <c r="I49" s="22" cm="1">
        <f t="array" ref="I49">SUM(G49:G152*83/100)</f>
        <v>37874916.899999999</v>
      </c>
      <c r="J49" s="9" cm="1">
        <f t="array" ref="J49">SUM(G49:G152*17/100)</f>
        <v>7757513.0999999996</v>
      </c>
      <c r="K49" s="4" t="str">
        <v>High Profit</v>
      </c>
    </row>
    <row r="50" spans="1:11" x14ac:dyDescent="0.3">
      <c r="A50" s="10">
        <v>149</v>
      </c>
      <c r="B50" s="10" t="s">
        <v>68</v>
      </c>
      <c r="C50" s="10" t="s">
        <v>12</v>
      </c>
      <c r="D50" s="10">
        <v>10</v>
      </c>
      <c r="E50" s="10">
        <v>283</v>
      </c>
      <c r="F50" s="11">
        <v>900</v>
      </c>
      <c r="G50" s="11">
        <f t="shared" si="0"/>
        <v>254700</v>
      </c>
      <c r="H50" s="10">
        <v>202211</v>
      </c>
      <c r="I50" s="22" cm="1">
        <f t="array" ref="I50">SUM(G50:G153*83/100)</f>
        <v>36193004.899999999</v>
      </c>
      <c r="J50" s="9" cm="1">
        <f t="array" ref="J50">SUM(G50:G153*17/100)</f>
        <v>7413025.0999999996</v>
      </c>
      <c r="K50" s="4" t="str">
        <v>High Profit</v>
      </c>
    </row>
    <row r="51" spans="1:11" x14ac:dyDescent="0.3">
      <c r="A51" s="10">
        <v>150</v>
      </c>
      <c r="B51" s="10" t="s">
        <v>69</v>
      </c>
      <c r="C51" s="10" t="s">
        <v>7</v>
      </c>
      <c r="D51" s="10">
        <v>11</v>
      </c>
      <c r="E51" s="10">
        <v>593</v>
      </c>
      <c r="F51" s="11">
        <v>1200</v>
      </c>
      <c r="G51" s="11">
        <f t="shared" si="0"/>
        <v>711600</v>
      </c>
      <c r="H51" s="10">
        <v>202211</v>
      </c>
      <c r="I51" s="22" cm="1">
        <f t="array" ref="I51">SUM(G51:G154*83/100)</f>
        <v>35981603.899999999</v>
      </c>
      <c r="J51" s="9" cm="1">
        <f t="array" ref="J51">SUM(G51:G154*17/100)</f>
        <v>7369726.0999999996</v>
      </c>
      <c r="K51" s="4" t="str">
        <v>High Profit</v>
      </c>
    </row>
    <row r="52" spans="1:11" x14ac:dyDescent="0.3">
      <c r="A52" s="10">
        <v>151</v>
      </c>
      <c r="B52" s="10" t="s">
        <v>70</v>
      </c>
      <c r="C52" s="10" t="s">
        <v>6</v>
      </c>
      <c r="D52" s="10">
        <v>12</v>
      </c>
      <c r="E52" s="10">
        <v>296</v>
      </c>
      <c r="F52" s="11">
        <v>6600</v>
      </c>
      <c r="G52" s="11">
        <f t="shared" si="0"/>
        <v>1953600</v>
      </c>
      <c r="H52" s="10">
        <v>202211</v>
      </c>
      <c r="I52" s="22" cm="1">
        <f t="array" ref="I52">SUM(G52:G155*83/100)</f>
        <v>35390975.899999999</v>
      </c>
      <c r="J52" s="9" cm="1">
        <f t="array" ref="J52">SUM(G52:G155*17/100)</f>
        <v>7248754.0999999996</v>
      </c>
      <c r="K52" s="4" t="str">
        <v>High Profit</v>
      </c>
    </row>
    <row r="53" spans="1:11" x14ac:dyDescent="0.3">
      <c r="A53" s="10">
        <v>152</v>
      </c>
      <c r="B53" s="10" t="s">
        <v>71</v>
      </c>
      <c r="C53" s="10" t="s">
        <v>5</v>
      </c>
      <c r="D53" s="10">
        <v>13</v>
      </c>
      <c r="E53" s="10">
        <v>519</v>
      </c>
      <c r="F53" s="11">
        <v>70</v>
      </c>
      <c r="G53" s="11">
        <f t="shared" si="0"/>
        <v>36330</v>
      </c>
      <c r="H53" s="10">
        <v>202211</v>
      </c>
      <c r="I53" s="22" cm="1">
        <f t="array" ref="I53">SUM(G53:G156*83/100)</f>
        <v>33769487.899999999</v>
      </c>
      <c r="J53" s="9" cm="1">
        <f t="array" ref="J53">SUM(G53:G156*17/100)</f>
        <v>6916642.1000000006</v>
      </c>
      <c r="K53" s="4" t="str">
        <v>High Profit</v>
      </c>
    </row>
    <row r="54" spans="1:11" x14ac:dyDescent="0.3">
      <c r="A54" s="10">
        <v>153</v>
      </c>
      <c r="B54" s="10" t="s">
        <v>72</v>
      </c>
      <c r="C54" s="10" t="s">
        <v>5</v>
      </c>
      <c r="D54" s="10">
        <v>10</v>
      </c>
      <c r="E54" s="10">
        <v>800</v>
      </c>
      <c r="F54" s="11">
        <v>900</v>
      </c>
      <c r="G54" s="11">
        <f t="shared" si="0"/>
        <v>720000</v>
      </c>
      <c r="H54" s="10">
        <v>202212</v>
      </c>
      <c r="I54" s="22" cm="1">
        <f t="array" ref="I54">SUM(G54:G157*83/100)</f>
        <v>33739334</v>
      </c>
      <c r="J54" s="9" cm="1">
        <f t="array" ref="J54">SUM(G54:G157*17/100)</f>
        <v>6910466.0000000009</v>
      </c>
      <c r="K54" s="4" t="str">
        <v>High Profit</v>
      </c>
    </row>
    <row r="55" spans="1:11" x14ac:dyDescent="0.3">
      <c r="A55" s="10">
        <v>154</v>
      </c>
      <c r="B55" s="10" t="s">
        <v>73</v>
      </c>
      <c r="C55" s="10" t="s">
        <v>6</v>
      </c>
      <c r="D55" s="10">
        <v>11</v>
      </c>
      <c r="E55" s="10">
        <v>104</v>
      </c>
      <c r="F55" s="11">
        <v>1200</v>
      </c>
      <c r="G55" s="11">
        <f t="shared" si="0"/>
        <v>124800</v>
      </c>
      <c r="H55" s="10">
        <v>202212</v>
      </c>
      <c r="I55" s="22" cm="1">
        <f t="array" ref="I55">SUM(G55:G158*83/100)</f>
        <v>33141734</v>
      </c>
      <c r="J55" s="9" cm="1">
        <f t="array" ref="J55">SUM(G55:G158*17/100)</f>
        <v>6788066</v>
      </c>
      <c r="K55" s="4" t="str">
        <v>High Profit</v>
      </c>
    </row>
    <row r="56" spans="1:11" x14ac:dyDescent="0.3">
      <c r="A56" s="10">
        <v>155</v>
      </c>
      <c r="B56" s="10" t="s">
        <v>74</v>
      </c>
      <c r="C56" s="10" t="s">
        <v>7</v>
      </c>
      <c r="D56" s="10">
        <v>12</v>
      </c>
      <c r="E56" s="10">
        <v>300</v>
      </c>
      <c r="F56" s="11">
        <v>6600</v>
      </c>
      <c r="G56" s="11">
        <f t="shared" si="0"/>
        <v>1980000</v>
      </c>
      <c r="H56" s="10">
        <v>202212</v>
      </c>
      <c r="I56" s="22" cm="1">
        <f t="array" ref="I56">SUM(G56:G159*83/100)</f>
        <v>33038150</v>
      </c>
      <c r="J56" s="9" cm="1">
        <f t="array" ref="J56">SUM(G56:G159*17/100)</f>
        <v>6766850</v>
      </c>
      <c r="K56" s="4" t="str">
        <v>High Profit</v>
      </c>
    </row>
    <row r="57" spans="1:11" x14ac:dyDescent="0.3">
      <c r="A57" s="10">
        <v>156</v>
      </c>
      <c r="B57" s="10" t="s">
        <v>75</v>
      </c>
      <c r="C57" s="10" t="s">
        <v>8</v>
      </c>
      <c r="D57" s="10">
        <v>13</v>
      </c>
      <c r="E57" s="10">
        <v>240</v>
      </c>
      <c r="F57" s="11">
        <v>70</v>
      </c>
      <c r="G57" s="11">
        <f t="shared" si="0"/>
        <v>16800</v>
      </c>
      <c r="H57" s="10">
        <v>202212</v>
      </c>
      <c r="I57" s="22" cm="1">
        <f t="array" ref="I57">SUM(G57:G160*83/100)</f>
        <v>31394750</v>
      </c>
      <c r="J57" s="9" cm="1">
        <f t="array" ref="J57">SUM(G57:G160*17/100)</f>
        <v>6430250</v>
      </c>
      <c r="K57" s="4" t="str">
        <v>High Profit</v>
      </c>
    </row>
    <row r="58" spans="1:11" x14ac:dyDescent="0.3">
      <c r="A58" s="10">
        <v>157</v>
      </c>
      <c r="B58" s="10" t="s">
        <v>76</v>
      </c>
      <c r="C58" s="10" t="s">
        <v>9</v>
      </c>
      <c r="D58" s="10">
        <v>14</v>
      </c>
      <c r="E58" s="10">
        <v>321</v>
      </c>
      <c r="F58" s="11">
        <v>1800</v>
      </c>
      <c r="G58" s="11">
        <f t="shared" si="0"/>
        <v>577800</v>
      </c>
      <c r="H58" s="10">
        <v>202301</v>
      </c>
      <c r="I58" s="22" cm="1">
        <f t="array" ref="I58">SUM(G58:G161*83/100)</f>
        <v>31380806</v>
      </c>
      <c r="J58" s="9" cm="1">
        <f t="array" ref="J58">SUM(G58:G161*17/100)</f>
        <v>6427394</v>
      </c>
      <c r="K58" s="4" t="str">
        <v>High Profit</v>
      </c>
    </row>
    <row r="59" spans="1:11" x14ac:dyDescent="0.3">
      <c r="A59" s="10">
        <v>158</v>
      </c>
      <c r="B59" s="10" t="s">
        <v>77</v>
      </c>
      <c r="C59" s="10" t="s">
        <v>10</v>
      </c>
      <c r="D59" s="10">
        <v>15</v>
      </c>
      <c r="E59" s="10">
        <v>105</v>
      </c>
      <c r="F59" s="11">
        <v>600</v>
      </c>
      <c r="G59" s="11">
        <f t="shared" si="0"/>
        <v>63000</v>
      </c>
      <c r="H59" s="10">
        <v>202301</v>
      </c>
      <c r="I59" s="22" cm="1">
        <f t="array" ref="I59">SUM(G59:G162*83/100)</f>
        <v>30901232</v>
      </c>
      <c r="J59" s="9" cm="1">
        <f t="array" ref="J59">SUM(G59:G162*17/100)</f>
        <v>6329168</v>
      </c>
      <c r="K59" s="4" t="str">
        <v>High Profit</v>
      </c>
    </row>
    <row r="60" spans="1:11" x14ac:dyDescent="0.3">
      <c r="A60" s="10">
        <v>159</v>
      </c>
      <c r="B60" s="10" t="s">
        <v>78</v>
      </c>
      <c r="C60" s="10" t="s">
        <v>11</v>
      </c>
      <c r="D60" s="10">
        <v>16</v>
      </c>
      <c r="E60" s="10">
        <v>503</v>
      </c>
      <c r="F60" s="11">
        <v>350</v>
      </c>
      <c r="G60" s="11">
        <f t="shared" si="0"/>
        <v>176050</v>
      </c>
      <c r="H60" s="10">
        <v>202301</v>
      </c>
      <c r="I60" s="22" cm="1">
        <f t="array" ref="I60">SUM(G60:G163*83/100)</f>
        <v>30848942</v>
      </c>
      <c r="J60" s="9" cm="1">
        <f t="array" ref="J60">SUM(G60:G163*17/100)</f>
        <v>6318458</v>
      </c>
      <c r="K60" s="4" t="str">
        <v>High Profit</v>
      </c>
    </row>
    <row r="61" spans="1:11" x14ac:dyDescent="0.3">
      <c r="A61" s="10">
        <v>160</v>
      </c>
      <c r="B61" s="10" t="s">
        <v>79</v>
      </c>
      <c r="C61" s="10" t="s">
        <v>12</v>
      </c>
      <c r="D61" s="10">
        <v>17</v>
      </c>
      <c r="E61" s="10">
        <v>438</v>
      </c>
      <c r="F61" s="11">
        <v>270</v>
      </c>
      <c r="G61" s="11">
        <f t="shared" si="0"/>
        <v>118260</v>
      </c>
      <c r="H61" s="10">
        <v>202301</v>
      </c>
      <c r="I61" s="22" cm="1">
        <f t="array" ref="I61">SUM(G61:G164*83/100)</f>
        <v>30702820.5</v>
      </c>
      <c r="J61" s="9" cm="1">
        <f t="array" ref="J61">SUM(G61:G164*17/100)</f>
        <v>6288529.5</v>
      </c>
      <c r="K61" s="4" t="str">
        <v>High Profit</v>
      </c>
    </row>
    <row r="62" spans="1:11" x14ac:dyDescent="0.3">
      <c r="A62" s="10">
        <v>161</v>
      </c>
      <c r="B62" s="10" t="s">
        <v>80</v>
      </c>
      <c r="C62" s="10" t="s">
        <v>13</v>
      </c>
      <c r="D62" s="10">
        <v>18</v>
      </c>
      <c r="E62" s="10">
        <v>352</v>
      </c>
      <c r="F62" s="11">
        <v>250</v>
      </c>
      <c r="G62" s="11">
        <f t="shared" si="0"/>
        <v>88000</v>
      </c>
      <c r="H62" s="10">
        <v>202302</v>
      </c>
      <c r="I62" s="22" cm="1">
        <f t="array" ref="I62">SUM(G62:G165*83/100)</f>
        <v>30604664.699999999</v>
      </c>
      <c r="J62" s="9" cm="1">
        <f t="array" ref="J62">SUM(G62:G165*17/100)</f>
        <v>6268425.2999999998</v>
      </c>
      <c r="K62" s="4" t="str">
        <v>High Profit</v>
      </c>
    </row>
    <row r="63" spans="1:11" x14ac:dyDescent="0.3">
      <c r="A63" s="10">
        <v>162</v>
      </c>
      <c r="B63" s="10" t="s">
        <v>81</v>
      </c>
      <c r="C63" s="10" t="s">
        <v>5</v>
      </c>
      <c r="D63" s="10">
        <v>19</v>
      </c>
      <c r="E63" s="10">
        <v>678</v>
      </c>
      <c r="F63" s="11">
        <v>2300</v>
      </c>
      <c r="G63" s="11">
        <f t="shared" si="0"/>
        <v>1559400</v>
      </c>
      <c r="H63" s="10">
        <v>202302</v>
      </c>
      <c r="I63" s="22" cm="1">
        <f t="array" ref="I63">SUM(G63:G166*83/100)</f>
        <v>30531624.699999999</v>
      </c>
      <c r="J63" s="9" cm="1">
        <f t="array" ref="J63">SUM(G63:G166*17/100)</f>
        <v>6253465.2999999998</v>
      </c>
      <c r="K63" s="4" t="str">
        <v>High Profit</v>
      </c>
    </row>
    <row r="64" spans="1:11" x14ac:dyDescent="0.3">
      <c r="A64" s="10">
        <v>163</v>
      </c>
      <c r="B64" s="10" t="s">
        <v>82</v>
      </c>
      <c r="C64" s="10" t="s">
        <v>14</v>
      </c>
      <c r="D64" s="10">
        <v>20</v>
      </c>
      <c r="E64" s="10">
        <v>424</v>
      </c>
      <c r="F64" s="11">
        <v>6800</v>
      </c>
      <c r="G64" s="11">
        <f t="shared" si="0"/>
        <v>2883200</v>
      </c>
      <c r="H64" s="10">
        <v>202302</v>
      </c>
      <c r="I64" s="22" cm="1">
        <f t="array" ref="I64">SUM(G64:G167*83/100)</f>
        <v>29237322.699999999</v>
      </c>
      <c r="J64" s="9" cm="1">
        <f t="array" ref="J64">SUM(G64:G167*17/100)</f>
        <v>5988367.2999999998</v>
      </c>
      <c r="K64" s="4" t="str">
        <v>High Profit</v>
      </c>
    </row>
    <row r="65" spans="1:11" x14ac:dyDescent="0.3">
      <c r="A65" s="10">
        <v>164</v>
      </c>
      <c r="B65" s="10" t="s">
        <v>83</v>
      </c>
      <c r="C65" s="10" t="s">
        <v>5</v>
      </c>
      <c r="D65" s="10">
        <v>10</v>
      </c>
      <c r="E65" s="10">
        <v>965</v>
      </c>
      <c r="F65" s="11">
        <v>900</v>
      </c>
      <c r="G65" s="11">
        <f t="shared" si="0"/>
        <v>868500</v>
      </c>
      <c r="H65" s="10">
        <v>202302</v>
      </c>
      <c r="I65" s="22" cm="1">
        <f t="array" ref="I65">SUM(G65:G168*83/100)</f>
        <v>26844266.699999999</v>
      </c>
      <c r="J65" s="9" cm="1">
        <f t="array" ref="J65">SUM(G65:G168*17/100)</f>
        <v>5498223.2999999998</v>
      </c>
      <c r="K65" s="4" t="str">
        <v>High Profit</v>
      </c>
    </row>
    <row r="66" spans="1:11" x14ac:dyDescent="0.3">
      <c r="A66" s="10">
        <v>165</v>
      </c>
      <c r="B66" s="10" t="s">
        <v>84</v>
      </c>
      <c r="C66" s="10" t="s">
        <v>7</v>
      </c>
      <c r="D66" s="10">
        <v>11</v>
      </c>
      <c r="E66" s="10">
        <v>236</v>
      </c>
      <c r="F66" s="11">
        <v>1200</v>
      </c>
      <c r="G66" s="11">
        <f t="shared" si="0"/>
        <v>283200</v>
      </c>
      <c r="H66" s="10">
        <v>202303</v>
      </c>
      <c r="I66" s="22" cm="1">
        <f t="array" ref="I66">SUM(G66:G169*83/100)</f>
        <v>26123411.699999999</v>
      </c>
      <c r="J66" s="9" cm="1">
        <f t="array" ref="J66">SUM(G66:G169*17/100)</f>
        <v>5350578.3</v>
      </c>
      <c r="K66" s="4" t="str">
        <v>High Profit</v>
      </c>
    </row>
    <row r="67" spans="1:11" x14ac:dyDescent="0.3">
      <c r="A67" s="10">
        <v>166</v>
      </c>
      <c r="B67" s="10" t="s">
        <v>85</v>
      </c>
      <c r="C67" s="10" t="s">
        <v>6</v>
      </c>
      <c r="D67" s="10">
        <v>12</v>
      </c>
      <c r="E67" s="10">
        <v>463</v>
      </c>
      <c r="F67" s="11">
        <v>6600</v>
      </c>
      <c r="G67" s="11">
        <f t="shared" ref="G67:G105" si="1">E67*F67</f>
        <v>3055800</v>
      </c>
      <c r="H67" s="10">
        <v>202303</v>
      </c>
      <c r="I67" s="22" cm="1">
        <f t="array" ref="I67">SUM(G67:G170*83/100)</f>
        <v>25888355.699999999</v>
      </c>
      <c r="J67" s="9" cm="1">
        <f t="array" ref="J67">SUM(G67:G170*17/100)</f>
        <v>5302434.3</v>
      </c>
      <c r="K67" s="4" t="str">
        <v>High Profit</v>
      </c>
    </row>
    <row r="68" spans="1:11" x14ac:dyDescent="0.3">
      <c r="A68" s="10">
        <v>167</v>
      </c>
      <c r="B68" s="10" t="s">
        <v>86</v>
      </c>
      <c r="C68" s="10" t="s">
        <v>13</v>
      </c>
      <c r="D68" s="10">
        <v>13</v>
      </c>
      <c r="E68" s="10">
        <v>198</v>
      </c>
      <c r="F68" s="11">
        <v>70</v>
      </c>
      <c r="G68" s="11">
        <f t="shared" si="1"/>
        <v>13860</v>
      </c>
      <c r="H68" s="10">
        <v>202303</v>
      </c>
      <c r="I68" s="22" cm="1">
        <f t="array" ref="I68">SUM(G68:G171*83/100)</f>
        <v>23352041.699999999</v>
      </c>
      <c r="J68" s="9" cm="1">
        <f t="array" ref="J68">SUM(G68:G171*17/100)</f>
        <v>4782948.3</v>
      </c>
      <c r="K68" s="4" t="str">
        <v>High Profit</v>
      </c>
    </row>
    <row r="69" spans="1:11" x14ac:dyDescent="0.3">
      <c r="A69" s="10">
        <v>168</v>
      </c>
      <c r="B69" s="10" t="s">
        <v>87</v>
      </c>
      <c r="C69" s="10" t="s">
        <v>12</v>
      </c>
      <c r="D69" s="10">
        <v>14</v>
      </c>
      <c r="E69" s="10">
        <v>673</v>
      </c>
      <c r="F69" s="11">
        <v>1800</v>
      </c>
      <c r="G69" s="11">
        <f t="shared" si="1"/>
        <v>1211400</v>
      </c>
      <c r="H69" s="10">
        <v>202303</v>
      </c>
      <c r="I69" s="22" cm="1">
        <f t="array" ref="I69">SUM(G69:G172*83/100)</f>
        <v>23340537.900000002</v>
      </c>
      <c r="J69" s="9" cm="1">
        <f t="array" ref="J69">SUM(G69:G172*17/100)</f>
        <v>4780592.0999999996</v>
      </c>
      <c r="K69" s="4" t="str">
        <v>High Profit</v>
      </c>
    </row>
    <row r="70" spans="1:11" x14ac:dyDescent="0.3">
      <c r="A70" s="10">
        <v>169</v>
      </c>
      <c r="B70" s="10" t="s">
        <v>88</v>
      </c>
      <c r="C70" s="10" t="s">
        <v>11</v>
      </c>
      <c r="D70" s="10">
        <v>15</v>
      </c>
      <c r="E70" s="10">
        <v>392</v>
      </c>
      <c r="F70" s="11">
        <v>600</v>
      </c>
      <c r="G70" s="11">
        <f t="shared" si="1"/>
        <v>235200</v>
      </c>
      <c r="H70" s="10">
        <v>202303</v>
      </c>
      <c r="I70" s="22" cm="1">
        <f t="array" ref="I70">SUM(G70:G173*83/100)</f>
        <v>22335075.899999999</v>
      </c>
      <c r="J70" s="9" cm="1">
        <f t="array" ref="J70">SUM(G70:G173*17/100)</f>
        <v>4574654.0999999996</v>
      </c>
      <c r="K70" s="4" t="str">
        <v>High Profit</v>
      </c>
    </row>
    <row r="71" spans="1:11" x14ac:dyDescent="0.3">
      <c r="A71" s="10">
        <v>170</v>
      </c>
      <c r="B71" s="10" t="s">
        <v>89</v>
      </c>
      <c r="C71" s="10" t="s">
        <v>5</v>
      </c>
      <c r="D71" s="10">
        <v>16</v>
      </c>
      <c r="E71" s="10">
        <v>851</v>
      </c>
      <c r="F71" s="11">
        <v>350</v>
      </c>
      <c r="G71" s="11">
        <f t="shared" si="1"/>
        <v>297850</v>
      </c>
      <c r="H71" s="10">
        <v>202303</v>
      </c>
      <c r="I71" s="22" cm="1">
        <f t="array" ref="I71">SUM(G71:G174*83/100)</f>
        <v>22139859.899999999</v>
      </c>
      <c r="J71" s="9" cm="1">
        <f t="array" ref="J71">SUM(G71:G174*17/100)</f>
        <v>4534670.0999999996</v>
      </c>
      <c r="K71" s="4" t="str">
        <v>High Profit</v>
      </c>
    </row>
    <row r="72" spans="1:11" x14ac:dyDescent="0.3">
      <c r="A72" s="10">
        <v>171</v>
      </c>
      <c r="B72" s="10" t="s">
        <v>90</v>
      </c>
      <c r="C72" s="10" t="s">
        <v>9</v>
      </c>
      <c r="D72" s="10">
        <v>17</v>
      </c>
      <c r="E72" s="10">
        <v>425</v>
      </c>
      <c r="F72" s="11">
        <v>270</v>
      </c>
      <c r="G72" s="11">
        <f t="shared" si="1"/>
        <v>114750</v>
      </c>
      <c r="H72" s="10">
        <v>202304</v>
      </c>
      <c r="I72" s="22" cm="1">
        <f t="array" ref="I72">SUM(G72:G175*83/100)</f>
        <v>21892644.399999999</v>
      </c>
      <c r="J72" s="9" cm="1">
        <f t="array" ref="J72">SUM(G72:G175*17/100)</f>
        <v>4484035.5999999996</v>
      </c>
      <c r="K72" s="4" t="str">
        <v>High Profit</v>
      </c>
    </row>
    <row r="73" spans="1:11" x14ac:dyDescent="0.3">
      <c r="A73" s="10">
        <v>172</v>
      </c>
      <c r="B73" s="10" t="s">
        <v>91</v>
      </c>
      <c r="C73" s="10" t="s">
        <v>15</v>
      </c>
      <c r="D73" s="10">
        <v>18</v>
      </c>
      <c r="E73" s="10">
        <v>294</v>
      </c>
      <c r="F73" s="11">
        <v>250</v>
      </c>
      <c r="G73" s="11">
        <f t="shared" si="1"/>
        <v>73500</v>
      </c>
      <c r="H73" s="10">
        <v>202304</v>
      </c>
      <c r="I73" s="22" cm="1">
        <f t="array" ref="I73">SUM(G73:G176*83/100)</f>
        <v>21797401.899999999</v>
      </c>
      <c r="J73" s="9" cm="1">
        <f t="array" ref="J73">SUM(G73:G176*17/100)</f>
        <v>4464528.0999999996</v>
      </c>
      <c r="K73" s="4" t="str">
        <v>High Profit</v>
      </c>
    </row>
    <row r="74" spans="1:11" x14ac:dyDescent="0.3">
      <c r="A74" s="10">
        <v>173</v>
      </c>
      <c r="B74" s="10" t="s">
        <v>92</v>
      </c>
      <c r="C74" s="10" t="s">
        <v>16</v>
      </c>
      <c r="D74" s="10">
        <v>19</v>
      </c>
      <c r="E74" s="10">
        <v>383</v>
      </c>
      <c r="F74" s="11">
        <v>2300</v>
      </c>
      <c r="G74" s="11">
        <f t="shared" si="1"/>
        <v>880900</v>
      </c>
      <c r="H74" s="10">
        <v>202304</v>
      </c>
      <c r="I74" s="22" cm="1">
        <f t="array" ref="I74">SUM(G74:G177*83/100)</f>
        <v>21736396.899999999</v>
      </c>
      <c r="J74" s="9" cm="1">
        <f t="array" ref="J74">SUM(G74:G177*17/100)</f>
        <v>4452033.0999999996</v>
      </c>
      <c r="K74" s="4" t="str">
        <v>High Profit</v>
      </c>
    </row>
    <row r="75" spans="1:11" x14ac:dyDescent="0.3">
      <c r="A75" s="10">
        <v>174</v>
      </c>
      <c r="B75" s="10" t="s">
        <v>93</v>
      </c>
      <c r="C75" s="10" t="s">
        <v>8</v>
      </c>
      <c r="D75" s="10">
        <v>20</v>
      </c>
      <c r="E75" s="10">
        <v>298</v>
      </c>
      <c r="F75" s="11">
        <v>6800</v>
      </c>
      <c r="G75" s="11">
        <f t="shared" si="1"/>
        <v>2026400</v>
      </c>
      <c r="H75" s="10">
        <v>202304</v>
      </c>
      <c r="I75" s="22" cm="1">
        <f t="array" ref="I75">SUM(G75:G178*83/100)</f>
        <v>21005249.899999999</v>
      </c>
      <c r="J75" s="9" cm="1">
        <f t="array" ref="J75">SUM(G75:G178*17/100)</f>
        <v>4302280.0999999996</v>
      </c>
      <c r="K75" s="4" t="str">
        <v>High Profit</v>
      </c>
    </row>
    <row r="76" spans="1:11" x14ac:dyDescent="0.3">
      <c r="A76" s="10">
        <v>175</v>
      </c>
      <c r="B76" s="10" t="s">
        <v>94</v>
      </c>
      <c r="C76" s="10" t="s">
        <v>12</v>
      </c>
      <c r="D76" s="10">
        <v>10</v>
      </c>
      <c r="E76" s="10">
        <v>283</v>
      </c>
      <c r="F76" s="11">
        <v>900</v>
      </c>
      <c r="G76" s="11">
        <f t="shared" si="1"/>
        <v>254700</v>
      </c>
      <c r="H76" s="10">
        <v>202305</v>
      </c>
      <c r="I76" s="22" cm="1">
        <f t="array" ref="I76">SUM(G76:G179*83/100)</f>
        <v>19323337.899999999</v>
      </c>
      <c r="J76" s="9" cm="1">
        <f t="array" ref="J76">SUM(G76:G179*17/100)</f>
        <v>3957792.1</v>
      </c>
      <c r="K76" s="4" t="str">
        <v>High Profit</v>
      </c>
    </row>
    <row r="77" spans="1:11" x14ac:dyDescent="0.3">
      <c r="A77" s="10">
        <v>176</v>
      </c>
      <c r="B77" s="10" t="s">
        <v>95</v>
      </c>
      <c r="C77" s="10" t="s">
        <v>7</v>
      </c>
      <c r="D77" s="10">
        <v>11</v>
      </c>
      <c r="E77" s="10">
        <v>593</v>
      </c>
      <c r="F77" s="11">
        <v>1200</v>
      </c>
      <c r="G77" s="11">
        <f t="shared" si="1"/>
        <v>711600</v>
      </c>
      <c r="H77" s="10">
        <v>202305</v>
      </c>
      <c r="I77" s="22" cm="1">
        <f t="array" ref="I77">SUM(G77:G180*83/100)</f>
        <v>19111936.899999999</v>
      </c>
      <c r="J77" s="9" cm="1">
        <f t="array" ref="J77">SUM(G77:G180*17/100)</f>
        <v>3914493.1</v>
      </c>
      <c r="K77" s="4" t="str">
        <v>High Profit</v>
      </c>
    </row>
    <row r="78" spans="1:11" x14ac:dyDescent="0.3">
      <c r="A78" s="10">
        <v>177</v>
      </c>
      <c r="B78" s="10" t="s">
        <v>96</v>
      </c>
      <c r="C78" s="10" t="s">
        <v>6</v>
      </c>
      <c r="D78" s="10">
        <v>12</v>
      </c>
      <c r="E78" s="10">
        <v>296</v>
      </c>
      <c r="F78" s="11">
        <v>6600</v>
      </c>
      <c r="G78" s="11">
        <f t="shared" si="1"/>
        <v>1953600</v>
      </c>
      <c r="H78" s="10">
        <v>202305</v>
      </c>
      <c r="I78" s="22" cm="1">
        <f t="array" ref="I78">SUM(G78:G181*83/100)</f>
        <v>18521308.899999999</v>
      </c>
      <c r="J78" s="9" cm="1">
        <f t="array" ref="J78">SUM(G78:G181*17/100)</f>
        <v>3793521.1</v>
      </c>
      <c r="K78" s="4" t="str">
        <v>High Profit</v>
      </c>
    </row>
    <row r="79" spans="1:11" x14ac:dyDescent="0.3">
      <c r="A79" s="10">
        <v>178</v>
      </c>
      <c r="B79" s="10" t="s">
        <v>97</v>
      </c>
      <c r="C79" s="10" t="s">
        <v>6</v>
      </c>
      <c r="D79" s="10">
        <v>13</v>
      </c>
      <c r="E79" s="10">
        <v>519</v>
      </c>
      <c r="F79" s="11">
        <v>70</v>
      </c>
      <c r="G79" s="11">
        <f t="shared" si="1"/>
        <v>36330</v>
      </c>
      <c r="H79" s="10">
        <v>202305</v>
      </c>
      <c r="I79" s="22" cm="1">
        <f t="array" ref="I79">SUM(G79:G182*83/100)</f>
        <v>16899820.899999999</v>
      </c>
      <c r="J79" s="9" cm="1">
        <f t="array" ref="J79">SUM(G79:G182*17/100)</f>
        <v>3461409.1</v>
      </c>
      <c r="K79" s="4" t="str">
        <v>High Profit</v>
      </c>
    </row>
    <row r="80" spans="1:11" x14ac:dyDescent="0.3">
      <c r="A80" s="10">
        <v>179</v>
      </c>
      <c r="B80" s="10" t="s">
        <v>98</v>
      </c>
      <c r="C80" s="10" t="s">
        <v>5</v>
      </c>
      <c r="D80" s="10">
        <v>10</v>
      </c>
      <c r="E80" s="10">
        <v>800</v>
      </c>
      <c r="F80" s="11">
        <v>900</v>
      </c>
      <c r="G80" s="11">
        <f t="shared" si="1"/>
        <v>720000</v>
      </c>
      <c r="H80" s="10">
        <v>202306</v>
      </c>
      <c r="I80" s="22" cm="1">
        <f t="array" ref="I80">SUM(G80:G183*83/100)</f>
        <v>16869667</v>
      </c>
      <c r="J80" s="9" cm="1">
        <f t="array" ref="J80">SUM(G80:G183*17/100)</f>
        <v>3455233.0000000005</v>
      </c>
      <c r="K80" s="4" t="str">
        <v>High Profit</v>
      </c>
    </row>
    <row r="81" spans="1:11" x14ac:dyDescent="0.3">
      <c r="A81" s="10">
        <v>180</v>
      </c>
      <c r="B81" s="10" t="s">
        <v>99</v>
      </c>
      <c r="C81" s="10" t="s">
        <v>6</v>
      </c>
      <c r="D81" s="10">
        <v>11</v>
      </c>
      <c r="E81" s="10">
        <v>104</v>
      </c>
      <c r="F81" s="11">
        <v>1200</v>
      </c>
      <c r="G81" s="11">
        <f t="shared" si="1"/>
        <v>124800</v>
      </c>
      <c r="H81" s="10">
        <v>202306</v>
      </c>
      <c r="I81" s="22" cm="1">
        <f t="array" ref="I81">SUM(G81:G184*83/100)</f>
        <v>16272067.000000002</v>
      </c>
      <c r="J81" s="9" cm="1">
        <f t="array" ref="J81">SUM(G81:G184*17/100)</f>
        <v>3332833</v>
      </c>
      <c r="K81" s="4" t="str">
        <v>High Profit</v>
      </c>
    </row>
    <row r="82" spans="1:11" x14ac:dyDescent="0.3">
      <c r="A82" s="10">
        <v>181</v>
      </c>
      <c r="B82" s="10" t="s">
        <v>100</v>
      </c>
      <c r="C82" s="10" t="s">
        <v>7</v>
      </c>
      <c r="D82" s="10">
        <v>12</v>
      </c>
      <c r="E82" s="10">
        <v>300</v>
      </c>
      <c r="F82" s="11">
        <v>6600</v>
      </c>
      <c r="G82" s="11">
        <f t="shared" si="1"/>
        <v>1980000</v>
      </c>
      <c r="H82" s="10">
        <v>202306</v>
      </c>
      <c r="I82" s="22" cm="1">
        <f t="array" ref="I82">SUM(G82:G185*83/100)</f>
        <v>16168483.000000002</v>
      </c>
      <c r="J82" s="9" cm="1">
        <f t="array" ref="J82">SUM(G82:G185*17/100)</f>
        <v>3311617</v>
      </c>
      <c r="K82" s="4" t="str">
        <v>High Profit</v>
      </c>
    </row>
    <row r="83" spans="1:11" x14ac:dyDescent="0.3">
      <c r="A83" s="10">
        <v>182</v>
      </c>
      <c r="B83" s="10" t="s">
        <v>101</v>
      </c>
      <c r="C83" s="10" t="s">
        <v>8</v>
      </c>
      <c r="D83" s="10">
        <v>13</v>
      </c>
      <c r="E83" s="10">
        <v>240</v>
      </c>
      <c r="F83" s="11">
        <v>70</v>
      </c>
      <c r="G83" s="11">
        <f t="shared" si="1"/>
        <v>16800</v>
      </c>
      <c r="H83" s="10">
        <v>202306</v>
      </c>
      <c r="I83" s="22" cm="1">
        <f t="array" ref="I83">SUM(G83:G186*83/100)</f>
        <v>14525083</v>
      </c>
      <c r="J83" s="9" cm="1">
        <f t="array" ref="J83">SUM(G83:G186*17/100)</f>
        <v>2975017</v>
      </c>
      <c r="K83" s="4" t="str">
        <v>High Profit</v>
      </c>
    </row>
    <row r="84" spans="1:11" x14ac:dyDescent="0.3">
      <c r="A84" s="10">
        <v>183</v>
      </c>
      <c r="B84" s="10" t="s">
        <v>102</v>
      </c>
      <c r="C84" s="10" t="s">
        <v>9</v>
      </c>
      <c r="D84" s="10">
        <v>14</v>
      </c>
      <c r="E84" s="10">
        <v>321</v>
      </c>
      <c r="F84" s="11">
        <v>1800</v>
      </c>
      <c r="G84" s="11">
        <f t="shared" si="1"/>
        <v>577800</v>
      </c>
      <c r="H84" s="10">
        <v>202307</v>
      </c>
      <c r="I84" s="22" cm="1">
        <f t="array" ref="I84">SUM(G84:G187*83/100)</f>
        <v>14511139</v>
      </c>
      <c r="J84" s="9" cm="1">
        <f t="array" ref="J84">SUM(G84:G187*17/100)</f>
        <v>2972161</v>
      </c>
      <c r="K84" s="4" t="str">
        <v>High Profit</v>
      </c>
    </row>
    <row r="85" spans="1:11" x14ac:dyDescent="0.3">
      <c r="A85" s="10">
        <v>184</v>
      </c>
      <c r="B85" s="10" t="s">
        <v>103</v>
      </c>
      <c r="C85" s="10" t="s">
        <v>10</v>
      </c>
      <c r="D85" s="10">
        <v>15</v>
      </c>
      <c r="E85" s="10">
        <v>105</v>
      </c>
      <c r="F85" s="11">
        <v>600</v>
      </c>
      <c r="G85" s="11">
        <f t="shared" si="1"/>
        <v>63000</v>
      </c>
      <c r="H85" s="10">
        <v>202307</v>
      </c>
      <c r="I85" s="22" cm="1">
        <f t="array" ref="I85">SUM(G85:G188*83/100)</f>
        <v>14031565</v>
      </c>
      <c r="J85" s="9" cm="1">
        <f t="array" ref="J85">SUM(G85:G188*17/100)</f>
        <v>2873935</v>
      </c>
      <c r="K85" s="4" t="str">
        <v>High Profit</v>
      </c>
    </row>
    <row r="86" spans="1:11" x14ac:dyDescent="0.3">
      <c r="A86" s="10">
        <v>185</v>
      </c>
      <c r="B86" s="10" t="s">
        <v>104</v>
      </c>
      <c r="C86" s="10" t="s">
        <v>11</v>
      </c>
      <c r="D86" s="10">
        <v>16</v>
      </c>
      <c r="E86" s="10">
        <v>503</v>
      </c>
      <c r="F86" s="11">
        <v>350</v>
      </c>
      <c r="G86" s="11">
        <f t="shared" si="1"/>
        <v>176050</v>
      </c>
      <c r="H86" s="10">
        <v>202307</v>
      </c>
      <c r="I86" s="22" cm="1">
        <f t="array" ref="I86">SUM(G86:G189*83/100)</f>
        <v>13979275</v>
      </c>
      <c r="J86" s="9" cm="1">
        <f t="array" ref="J86">SUM(G86:G189*17/100)</f>
        <v>2863225</v>
      </c>
      <c r="K86" s="4" t="str">
        <v>High Profit</v>
      </c>
    </row>
    <row r="87" spans="1:11" x14ac:dyDescent="0.3">
      <c r="A87" s="10">
        <v>186</v>
      </c>
      <c r="B87" s="10" t="s">
        <v>105</v>
      </c>
      <c r="C87" s="10" t="s">
        <v>12</v>
      </c>
      <c r="D87" s="10">
        <v>17</v>
      </c>
      <c r="E87" s="10">
        <v>438</v>
      </c>
      <c r="F87" s="11">
        <v>270</v>
      </c>
      <c r="G87" s="11">
        <f t="shared" si="1"/>
        <v>118260</v>
      </c>
      <c r="H87" s="10">
        <v>202308</v>
      </c>
      <c r="I87" s="22" cm="1">
        <f t="array" ref="I87">SUM(G87:G190*83/100)</f>
        <v>13833153.5</v>
      </c>
      <c r="J87" s="9" cm="1">
        <f t="array" ref="J87">SUM(G87:G190*17/100)</f>
        <v>2833296.5</v>
      </c>
      <c r="K87" s="4" t="str">
        <v>High Profit</v>
      </c>
    </row>
    <row r="88" spans="1:11" x14ac:dyDescent="0.3">
      <c r="A88" s="10">
        <v>187</v>
      </c>
      <c r="B88" s="10" t="s">
        <v>106</v>
      </c>
      <c r="C88" s="10" t="s">
        <v>13</v>
      </c>
      <c r="D88" s="10">
        <v>18</v>
      </c>
      <c r="E88" s="10">
        <v>352</v>
      </c>
      <c r="F88" s="11">
        <v>250</v>
      </c>
      <c r="G88" s="11">
        <f t="shared" si="1"/>
        <v>88000</v>
      </c>
      <c r="H88" s="10">
        <v>202308</v>
      </c>
      <c r="I88" s="22" cm="1">
        <f t="array" ref="I88">SUM(G88:G191*83/100)</f>
        <v>13734997.700000001</v>
      </c>
      <c r="J88" s="9" cm="1">
        <f t="array" ref="J88">SUM(G88:G191*17/100)</f>
        <v>2813192.3000000003</v>
      </c>
      <c r="K88" s="4" t="str">
        <v>High Profit</v>
      </c>
    </row>
    <row r="89" spans="1:11" x14ac:dyDescent="0.3">
      <c r="A89" s="10">
        <v>188</v>
      </c>
      <c r="B89" s="10" t="s">
        <v>107</v>
      </c>
      <c r="C89" s="10" t="s">
        <v>5</v>
      </c>
      <c r="D89" s="10">
        <v>19</v>
      </c>
      <c r="E89" s="10">
        <v>678</v>
      </c>
      <c r="F89" s="11">
        <v>2300</v>
      </c>
      <c r="G89" s="11">
        <f t="shared" si="1"/>
        <v>1559400</v>
      </c>
      <c r="H89" s="10">
        <v>202308</v>
      </c>
      <c r="I89" s="22" cm="1">
        <f t="array" ref="I89">SUM(G89:G192*83/100)</f>
        <v>13661957.700000001</v>
      </c>
      <c r="J89" s="9" cm="1">
        <f t="array" ref="J89">SUM(G89:G192*17/100)</f>
        <v>2798232.3000000003</v>
      </c>
      <c r="K89" s="4" t="str">
        <v>High Profit</v>
      </c>
    </row>
    <row r="90" spans="1:11" x14ac:dyDescent="0.3">
      <c r="A90" s="10">
        <v>189</v>
      </c>
      <c r="B90" s="10" t="s">
        <v>108</v>
      </c>
      <c r="C90" s="10" t="s">
        <v>14</v>
      </c>
      <c r="D90" s="10">
        <v>20</v>
      </c>
      <c r="E90" s="10">
        <v>424</v>
      </c>
      <c r="F90" s="11">
        <v>6800</v>
      </c>
      <c r="G90" s="11">
        <f t="shared" si="1"/>
        <v>2883200</v>
      </c>
      <c r="H90" s="10">
        <v>202309</v>
      </c>
      <c r="I90" s="22" cm="1">
        <f t="array" ref="I90">SUM(G90:G193*83/100)</f>
        <v>12367655.700000001</v>
      </c>
      <c r="J90" s="9" cm="1">
        <f t="array" ref="J90">SUM(G90:G193*17/100)</f>
        <v>2533134.3000000003</v>
      </c>
      <c r="K90" s="4" t="str">
        <v>High Profit</v>
      </c>
    </row>
    <row r="91" spans="1:11" x14ac:dyDescent="0.3">
      <c r="A91" s="10">
        <v>190</v>
      </c>
      <c r="B91" s="10" t="s">
        <v>109</v>
      </c>
      <c r="C91" s="10" t="s">
        <v>5</v>
      </c>
      <c r="D91" s="10">
        <v>10</v>
      </c>
      <c r="E91" s="10">
        <v>965</v>
      </c>
      <c r="F91" s="11">
        <v>900</v>
      </c>
      <c r="G91" s="11">
        <f t="shared" si="1"/>
        <v>868500</v>
      </c>
      <c r="H91" s="10">
        <v>202309</v>
      </c>
      <c r="I91" s="22" cm="1">
        <f t="array" ref="I91">SUM(G91:G194*83/100)</f>
        <v>9974599.7000000011</v>
      </c>
      <c r="J91" s="9" cm="1">
        <f t="array" ref="J91">SUM(G91:G194*17/100)</f>
        <v>2042990.3</v>
      </c>
      <c r="K91" s="4" t="str">
        <v>High Profit</v>
      </c>
    </row>
    <row r="92" spans="1:11" x14ac:dyDescent="0.3">
      <c r="A92" s="10">
        <v>191</v>
      </c>
      <c r="B92" s="10" t="s">
        <v>110</v>
      </c>
      <c r="C92" s="10" t="s">
        <v>7</v>
      </c>
      <c r="D92" s="10">
        <v>11</v>
      </c>
      <c r="E92" s="10">
        <v>236</v>
      </c>
      <c r="F92" s="11">
        <v>1200</v>
      </c>
      <c r="G92" s="11">
        <f t="shared" si="1"/>
        <v>283200</v>
      </c>
      <c r="H92" s="10">
        <v>202309</v>
      </c>
      <c r="I92" s="22" cm="1">
        <f t="array" ref="I92">SUM(G92:G195*83/100)</f>
        <v>9253744.7000000011</v>
      </c>
      <c r="J92" s="9" cm="1">
        <f t="array" ref="J92">SUM(G92:G195*17/100)</f>
        <v>1895345.3</v>
      </c>
      <c r="K92" s="4" t="str">
        <v>High Profit</v>
      </c>
    </row>
    <row r="93" spans="1:11" x14ac:dyDescent="0.3">
      <c r="A93" s="10">
        <v>192</v>
      </c>
      <c r="B93" s="10" t="s">
        <v>33</v>
      </c>
      <c r="C93" s="10" t="s">
        <v>6</v>
      </c>
      <c r="D93" s="10">
        <v>12</v>
      </c>
      <c r="E93" s="10">
        <v>463</v>
      </c>
      <c r="F93" s="11">
        <v>6600</v>
      </c>
      <c r="G93" s="11">
        <f t="shared" si="1"/>
        <v>3055800</v>
      </c>
      <c r="H93" s="10">
        <v>202309</v>
      </c>
      <c r="I93" s="22" cm="1">
        <f t="array" ref="I93">SUM(G93:G196*83/100)</f>
        <v>9018688.7000000011</v>
      </c>
      <c r="J93" s="9" cm="1">
        <f t="array" ref="J93">SUM(G93:G196*17/100)</f>
        <v>1847201.3</v>
      </c>
      <c r="K93" s="4" t="str">
        <v>High Profit</v>
      </c>
    </row>
    <row r="94" spans="1:11" x14ac:dyDescent="0.3">
      <c r="A94" s="10">
        <v>193</v>
      </c>
      <c r="B94" s="10" t="s">
        <v>111</v>
      </c>
      <c r="C94" s="10" t="s">
        <v>13</v>
      </c>
      <c r="D94" s="10">
        <v>13</v>
      </c>
      <c r="E94" s="10">
        <v>198</v>
      </c>
      <c r="F94" s="11">
        <v>70</v>
      </c>
      <c r="G94" s="11">
        <f t="shared" si="1"/>
        <v>13860</v>
      </c>
      <c r="H94" s="10">
        <v>202310</v>
      </c>
      <c r="I94" s="22" cm="1">
        <f t="array" ref="I94">SUM(G94:G197*83/100)</f>
        <v>6482374.7000000002</v>
      </c>
      <c r="J94" s="9" cm="1">
        <f t="array" ref="J94">SUM(G94:G197*17/100)</f>
        <v>1327715.3</v>
      </c>
      <c r="K94" s="4" t="str">
        <v>High Profit</v>
      </c>
    </row>
    <row r="95" spans="1:11" x14ac:dyDescent="0.3">
      <c r="A95" s="10">
        <v>194</v>
      </c>
      <c r="B95" s="10" t="s">
        <v>112</v>
      </c>
      <c r="C95" s="10" t="s">
        <v>12</v>
      </c>
      <c r="D95" s="10">
        <v>14</v>
      </c>
      <c r="E95" s="10">
        <v>673</v>
      </c>
      <c r="F95" s="11">
        <v>1800</v>
      </c>
      <c r="G95" s="11">
        <f t="shared" si="1"/>
        <v>1211400</v>
      </c>
      <c r="H95" s="10">
        <v>202310</v>
      </c>
      <c r="I95" s="22" cm="1">
        <f t="array" ref="I95">SUM(G95:G198*83/100)</f>
        <v>6470870.9000000004</v>
      </c>
      <c r="J95" s="9" cm="1">
        <f t="array" ref="J95">SUM(G95:G198*17/100)</f>
        <v>1325359.1000000001</v>
      </c>
      <c r="K95" s="4" t="str">
        <v>High Profit</v>
      </c>
    </row>
    <row r="96" spans="1:11" x14ac:dyDescent="0.3">
      <c r="A96" s="10">
        <v>195</v>
      </c>
      <c r="B96" s="10" t="s">
        <v>113</v>
      </c>
      <c r="C96" s="10" t="s">
        <v>11</v>
      </c>
      <c r="D96" s="10">
        <v>15</v>
      </c>
      <c r="E96" s="10">
        <v>392</v>
      </c>
      <c r="F96" s="11">
        <v>600</v>
      </c>
      <c r="G96" s="11">
        <f t="shared" si="1"/>
        <v>235200</v>
      </c>
      <c r="H96" s="10">
        <v>202310</v>
      </c>
      <c r="I96" s="22" cm="1">
        <f t="array" ref="I96">SUM(G96:G199*83/100)</f>
        <v>5465408.9000000004</v>
      </c>
      <c r="J96" s="9" cm="1">
        <f t="array" ref="J96">SUM(G96:G199*17/100)</f>
        <v>1119421.1000000001</v>
      </c>
      <c r="K96" s="4" t="str">
        <v>High Profit</v>
      </c>
    </row>
    <row r="97" spans="1:11" x14ac:dyDescent="0.3">
      <c r="A97" s="10">
        <v>196</v>
      </c>
      <c r="B97" s="10" t="s">
        <v>114</v>
      </c>
      <c r="C97" s="10" t="s">
        <v>5</v>
      </c>
      <c r="D97" s="10">
        <v>16</v>
      </c>
      <c r="E97" s="10">
        <v>851</v>
      </c>
      <c r="F97" s="11">
        <v>350</v>
      </c>
      <c r="G97" s="11">
        <f t="shared" si="1"/>
        <v>297850</v>
      </c>
      <c r="H97" s="10">
        <v>202310</v>
      </c>
      <c r="I97" s="22" cm="1">
        <f t="array" ref="I97">SUM(G97:G200*83/100)</f>
        <v>5270192.9000000004</v>
      </c>
      <c r="J97" s="9" cm="1">
        <f t="array" ref="J97">SUM(G97:G200*17/100)</f>
        <v>1079437.1000000001</v>
      </c>
      <c r="K97" s="4" t="str">
        <v>High Profit</v>
      </c>
    </row>
    <row r="98" spans="1:11" x14ac:dyDescent="0.3">
      <c r="A98" s="10">
        <v>197</v>
      </c>
      <c r="B98" s="10" t="s">
        <v>115</v>
      </c>
      <c r="C98" s="10" t="s">
        <v>9</v>
      </c>
      <c r="D98" s="10">
        <v>17</v>
      </c>
      <c r="E98" s="10">
        <v>425</v>
      </c>
      <c r="F98" s="11">
        <v>270</v>
      </c>
      <c r="G98" s="11">
        <f t="shared" si="1"/>
        <v>114750</v>
      </c>
      <c r="H98" s="10">
        <v>202311</v>
      </c>
      <c r="I98" s="22" cm="1">
        <f t="array" ref="I98">SUM(G98:G201*83/100)</f>
        <v>5022977.4000000004</v>
      </c>
      <c r="J98" s="9" cm="1">
        <f t="array" ref="J98">SUM(G98:G201*17/100)</f>
        <v>1028802.6</v>
      </c>
      <c r="K98" s="4" t="str">
        <v>High Profit</v>
      </c>
    </row>
    <row r="99" spans="1:11" x14ac:dyDescent="0.3">
      <c r="A99" s="10">
        <v>198</v>
      </c>
      <c r="B99" s="10" t="s">
        <v>116</v>
      </c>
      <c r="C99" s="10" t="s">
        <v>15</v>
      </c>
      <c r="D99" s="10">
        <v>18</v>
      </c>
      <c r="E99" s="10">
        <v>294</v>
      </c>
      <c r="F99" s="11">
        <v>250</v>
      </c>
      <c r="G99" s="11">
        <f t="shared" si="1"/>
        <v>73500</v>
      </c>
      <c r="H99" s="10">
        <v>202311</v>
      </c>
      <c r="I99" s="22" cm="1">
        <f t="array" ref="I99">SUM(G99:G202*83/100)</f>
        <v>4927734.9000000004</v>
      </c>
      <c r="J99" s="9" cm="1">
        <f t="array" ref="J99">SUM(G99:G202*17/100)</f>
        <v>1009295.1</v>
      </c>
      <c r="K99" s="4" t="str">
        <v>High Profit</v>
      </c>
    </row>
    <row r="100" spans="1:11" x14ac:dyDescent="0.3">
      <c r="A100" s="10">
        <v>199</v>
      </c>
      <c r="B100" s="10" t="s">
        <v>117</v>
      </c>
      <c r="C100" s="10" t="s">
        <v>16</v>
      </c>
      <c r="D100" s="10">
        <v>19</v>
      </c>
      <c r="E100" s="10">
        <v>383</v>
      </c>
      <c r="F100" s="11">
        <v>2300</v>
      </c>
      <c r="G100" s="11">
        <f t="shared" si="1"/>
        <v>880900</v>
      </c>
      <c r="H100" s="10">
        <v>202311</v>
      </c>
      <c r="I100" s="22" cm="1">
        <f t="array" ref="I100">SUM(G100:G203*83/100)</f>
        <v>4866729.9000000004</v>
      </c>
      <c r="J100" s="9" cm="1">
        <f t="array" ref="J100">SUM(G100:G203*17/100)</f>
        <v>996800.1</v>
      </c>
      <c r="K100" s="4" t="str">
        <v>High Profit</v>
      </c>
    </row>
    <row r="101" spans="1:11" x14ac:dyDescent="0.3">
      <c r="A101" s="10">
        <v>200</v>
      </c>
      <c r="B101" s="10" t="s">
        <v>118</v>
      </c>
      <c r="C101" s="10" t="s">
        <v>8</v>
      </c>
      <c r="D101" s="10">
        <v>20</v>
      </c>
      <c r="E101" s="10">
        <v>298</v>
      </c>
      <c r="F101" s="11">
        <v>6800</v>
      </c>
      <c r="G101" s="11">
        <f t="shared" si="1"/>
        <v>2026400</v>
      </c>
      <c r="H101" s="10">
        <v>202311</v>
      </c>
      <c r="I101" s="22" cm="1">
        <f t="array" ref="I101">SUM(G101:G204*83/100)</f>
        <v>4135582.9</v>
      </c>
      <c r="J101" s="9" cm="1">
        <f t="array" ref="J101">SUM(G101:G204*17/100)</f>
        <v>847047.1</v>
      </c>
      <c r="K101" s="4" t="str">
        <v>High Profit</v>
      </c>
    </row>
    <row r="102" spans="1:11" x14ac:dyDescent="0.3">
      <c r="A102" s="10">
        <v>201</v>
      </c>
      <c r="B102" s="10" t="s">
        <v>119</v>
      </c>
      <c r="C102" s="10" t="s">
        <v>12</v>
      </c>
      <c r="D102" s="10">
        <v>10</v>
      </c>
      <c r="E102" s="10">
        <v>283</v>
      </c>
      <c r="F102" s="11">
        <v>900</v>
      </c>
      <c r="G102" s="11">
        <f t="shared" si="1"/>
        <v>254700</v>
      </c>
      <c r="H102" s="10">
        <v>202312</v>
      </c>
      <c r="I102" s="22" cm="1">
        <f t="array" ref="I102">SUM(G102:G205*83/100)</f>
        <v>2453670.9</v>
      </c>
      <c r="J102" s="9" cm="1">
        <f t="array" ref="J102">SUM(G102:G205*17/100)</f>
        <v>502559.1</v>
      </c>
      <c r="K102" s="4" t="str">
        <v>High Profit</v>
      </c>
    </row>
    <row r="103" spans="1:11" x14ac:dyDescent="0.3">
      <c r="A103" s="10">
        <v>202</v>
      </c>
      <c r="B103" s="10" t="s">
        <v>120</v>
      </c>
      <c r="C103" s="10" t="s">
        <v>7</v>
      </c>
      <c r="D103" s="10">
        <v>11</v>
      </c>
      <c r="E103" s="10">
        <v>593</v>
      </c>
      <c r="F103" s="11">
        <v>1200</v>
      </c>
      <c r="G103" s="11">
        <f t="shared" si="1"/>
        <v>711600</v>
      </c>
      <c r="H103" s="10">
        <v>202312</v>
      </c>
      <c r="I103" s="22" cm="1">
        <f t="array" ref="I103">SUM(G103:G206*83/100)</f>
        <v>2242269.9</v>
      </c>
      <c r="J103" s="9" cm="1">
        <f t="array" ref="J103">SUM(G103:G206*17/100)</f>
        <v>459260.1</v>
      </c>
      <c r="K103" s="4" t="e">
        <v>#N/A</v>
      </c>
    </row>
    <row r="104" spans="1:11" x14ac:dyDescent="0.3">
      <c r="A104" s="10">
        <v>203</v>
      </c>
      <c r="B104" s="10" t="s">
        <v>121</v>
      </c>
      <c r="C104" s="10" t="s">
        <v>6</v>
      </c>
      <c r="D104" s="10">
        <v>12</v>
      </c>
      <c r="E104" s="10">
        <v>296</v>
      </c>
      <c r="F104" s="11">
        <v>6600</v>
      </c>
      <c r="G104" s="11">
        <f t="shared" si="1"/>
        <v>1953600</v>
      </c>
      <c r="H104" s="10">
        <v>202312</v>
      </c>
      <c r="I104" s="22" cm="1">
        <f t="array" ref="I104">SUM(G104:G207*83/100)</f>
        <v>1651641.9</v>
      </c>
      <c r="J104" s="9" cm="1">
        <f t="array" ref="J104">SUM(G104:G207*17/100)</f>
        <v>338288.1</v>
      </c>
      <c r="K104" s="4" t="e">
        <v>#N/A</v>
      </c>
    </row>
    <row r="105" spans="1:11" x14ac:dyDescent="0.3">
      <c r="A105" s="10">
        <v>204</v>
      </c>
      <c r="B105" s="10" t="s">
        <v>122</v>
      </c>
      <c r="C105" s="10" t="s">
        <v>6</v>
      </c>
      <c r="D105" s="10">
        <v>13</v>
      </c>
      <c r="E105" s="10">
        <v>519</v>
      </c>
      <c r="F105" s="11">
        <v>70</v>
      </c>
      <c r="G105" s="11">
        <f t="shared" si="1"/>
        <v>36330</v>
      </c>
      <c r="H105" s="10">
        <v>202312</v>
      </c>
      <c r="I105" s="22" cm="1">
        <f t="array" ref="I105">SUM(G105:G208*83/100)</f>
        <v>30153.9</v>
      </c>
      <c r="J105" s="9" cm="1">
        <f t="array" ref="J105">SUM(G105:G208*17/100)</f>
        <v>6176.1</v>
      </c>
      <c r="K105" s="4" t="str">
        <v>Low Profit</v>
      </c>
    </row>
    <row r="106" spans="1:11" x14ac:dyDescent="0.3">
      <c r="F106" s="2"/>
      <c r="G106" s="2"/>
    </row>
    <row r="107" spans="1:11" x14ac:dyDescent="0.3">
      <c r="F107" s="2"/>
      <c r="G107" s="2"/>
    </row>
    <row r="108" spans="1:11" x14ac:dyDescent="0.3">
      <c r="F108" s="2"/>
      <c r="G108" s="2"/>
    </row>
    <row r="109" spans="1:11" x14ac:dyDescent="0.3">
      <c r="F109" s="2"/>
      <c r="G109" s="2"/>
    </row>
    <row r="110" spans="1:11" x14ac:dyDescent="0.3">
      <c r="F110" s="2"/>
      <c r="G110" s="2"/>
    </row>
    <row r="111" spans="1:11" x14ac:dyDescent="0.3">
      <c r="F111" s="2"/>
      <c r="G111" s="2"/>
    </row>
    <row r="112" spans="1:11" x14ac:dyDescent="0.3">
      <c r="F112" s="2"/>
      <c r="G112" s="2"/>
    </row>
  </sheetData>
  <mergeCells count="1">
    <mergeCell ref="M21:S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2C27-DEC2-4FF6-8023-15D34BCC9521}">
  <dimension ref="A1:E12"/>
  <sheetViews>
    <sheetView workbookViewId="0">
      <selection activeCell="F15" sqref="F15"/>
    </sheetView>
  </sheetViews>
  <sheetFormatPr defaultRowHeight="14.4" x14ac:dyDescent="0.3"/>
  <cols>
    <col min="1" max="1" width="22.5546875" bestFit="1" customWidth="1"/>
    <col min="2" max="2" width="18" bestFit="1" customWidth="1"/>
    <col min="3" max="3" width="11.88671875" bestFit="1" customWidth="1"/>
    <col min="4" max="4" width="13.109375" bestFit="1" customWidth="1"/>
    <col min="5" max="5" width="11.5546875" customWidth="1"/>
  </cols>
  <sheetData>
    <row r="1" spans="1:5" ht="15.6" x14ac:dyDescent="0.3">
      <c r="A1" s="13" t="s">
        <v>135</v>
      </c>
      <c r="B1" s="13" t="s">
        <v>136</v>
      </c>
      <c r="C1" s="13" t="s">
        <v>126</v>
      </c>
      <c r="D1" s="13" t="s">
        <v>137</v>
      </c>
      <c r="E1" s="13" t="s">
        <v>132</v>
      </c>
    </row>
    <row r="2" spans="1:5" ht="15.6" x14ac:dyDescent="0.3">
      <c r="A2" s="14" t="s">
        <v>138</v>
      </c>
      <c r="B2" s="15">
        <v>4200</v>
      </c>
      <c r="C2" s="15">
        <v>2000</v>
      </c>
      <c r="D2" s="15">
        <v>200</v>
      </c>
      <c r="E2" s="16">
        <f>SUM(B2:D2)</f>
        <v>6400</v>
      </c>
    </row>
    <row r="3" spans="1:5" ht="15.6" x14ac:dyDescent="0.3">
      <c r="A3" s="14" t="s">
        <v>139</v>
      </c>
      <c r="B3" s="15">
        <v>4200</v>
      </c>
      <c r="C3" s="15">
        <v>2000</v>
      </c>
      <c r="D3" s="15">
        <v>600</v>
      </c>
      <c r="E3" s="16">
        <f t="shared" ref="E3:E10" si="0">SUM(B3:D3)</f>
        <v>6800</v>
      </c>
    </row>
    <row r="4" spans="1:5" ht="15.6" x14ac:dyDescent="0.3">
      <c r="A4" s="14" t="s">
        <v>140</v>
      </c>
      <c r="B4" s="15">
        <v>3200</v>
      </c>
      <c r="C4" s="15">
        <v>2000</v>
      </c>
      <c r="D4" s="15">
        <v>800</v>
      </c>
      <c r="E4" s="16">
        <f t="shared" si="0"/>
        <v>6000</v>
      </c>
    </row>
    <row r="5" spans="1:5" ht="15.6" x14ac:dyDescent="0.3">
      <c r="A5" s="14" t="s">
        <v>141</v>
      </c>
      <c r="B5" s="15">
        <v>4000</v>
      </c>
      <c r="C5" s="15">
        <v>2000</v>
      </c>
      <c r="D5" s="15">
        <v>500</v>
      </c>
      <c r="E5" s="16">
        <f>SUM(B5:D5)</f>
        <v>6500</v>
      </c>
    </row>
    <row r="6" spans="1:5" ht="15.6" x14ac:dyDescent="0.3">
      <c r="A6" s="14" t="s">
        <v>142</v>
      </c>
      <c r="B6" s="15">
        <v>1000</v>
      </c>
      <c r="C6" s="15">
        <v>2000</v>
      </c>
      <c r="D6" s="15">
        <v>400</v>
      </c>
      <c r="E6" s="16">
        <f t="shared" si="0"/>
        <v>3400</v>
      </c>
    </row>
    <row r="7" spans="1:5" ht="15.6" x14ac:dyDescent="0.3">
      <c r="A7" s="14" t="s">
        <v>143</v>
      </c>
      <c r="B7" s="15">
        <v>900</v>
      </c>
      <c r="C7" s="15">
        <v>2000</v>
      </c>
      <c r="D7" s="15">
        <v>300</v>
      </c>
      <c r="E7" s="16">
        <f t="shared" si="0"/>
        <v>3200</v>
      </c>
    </row>
    <row r="8" spans="1:5" ht="15.6" x14ac:dyDescent="0.3">
      <c r="A8" s="14" t="s">
        <v>144</v>
      </c>
      <c r="B8" s="15">
        <v>6500</v>
      </c>
      <c r="C8" s="15">
        <v>2000</v>
      </c>
      <c r="D8" s="15">
        <v>200</v>
      </c>
      <c r="E8" s="16">
        <f t="shared" si="0"/>
        <v>8700</v>
      </c>
    </row>
    <row r="9" spans="1:5" ht="15.6" x14ac:dyDescent="0.3">
      <c r="A9" s="14" t="s">
        <v>145</v>
      </c>
      <c r="B9" s="15">
        <v>7000</v>
      </c>
      <c r="C9" s="15">
        <v>2000</v>
      </c>
      <c r="D9" s="15">
        <v>600</v>
      </c>
      <c r="E9" s="16">
        <f t="shared" si="0"/>
        <v>9600</v>
      </c>
    </row>
    <row r="10" spans="1:5" ht="15.6" x14ac:dyDescent="0.3">
      <c r="A10" s="17" t="s">
        <v>146</v>
      </c>
      <c r="B10" s="18">
        <v>6200</v>
      </c>
      <c r="C10" s="18">
        <v>2000</v>
      </c>
      <c r="D10" s="18">
        <v>800</v>
      </c>
      <c r="E10" s="16">
        <f t="shared" si="0"/>
        <v>9000</v>
      </c>
    </row>
    <row r="11" spans="1:5" ht="16.2" thickBot="1" x14ac:dyDescent="0.35">
      <c r="A11" s="14"/>
      <c r="B11" s="19"/>
      <c r="C11" s="19"/>
      <c r="D11" s="20" t="s">
        <v>131</v>
      </c>
      <c r="E11" s="24">
        <f>SUM(E1:E9)</f>
        <v>50600</v>
      </c>
    </row>
    <row r="12" spans="1:5" ht="15" thickTop="1" x14ac:dyDescent="0.3">
      <c r="E12" s="24"/>
    </row>
  </sheetData>
  <dataValidations xWindow="568" yWindow="390" count="3">
    <dataValidation type="whole" allowBlank="1" showInputMessage="1" showErrorMessage="1" errorTitle="Invalid Input" error="Please Insert amount less than R1000" promptTitle="Only Amount less than R1000" prompt="Please keep the costs less than R1000" sqref="D1:D10" xr:uid="{CF0BB0D2-E382-4CCF-A0F4-7D815B5F4CC0}">
      <formula1>0</formula1>
      <formula2>1000</formula2>
    </dataValidation>
    <dataValidation type="whole" allowBlank="1" showInputMessage="1" showErrorMessage="1" errorTitle="Invalid Input" error="Please keep budget at R2000" promptTitle="Budget is R2000" prompt="Please keep budget at R2000" sqref="C1:C10" xr:uid="{45FD9D0E-79E9-4ECE-AB95-BA83114261CA}">
      <formula1>0</formula1>
      <formula2>2000</formula2>
    </dataValidation>
    <dataValidation type="whole" allowBlank="1" showInputMessage="1" showErrorMessage="1" errorTitle="Invalid Input!" error="Please keep total cost less than R9600" promptTitle="Total cost to be less than R9600" prompt="Please keep total cost amount less than R9600" sqref="E1:E10" xr:uid="{4D224D60-8110-4F7D-90B4-B026DD22242C}">
      <formula1>0</formula1>
      <formula2>9600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3</vt:lpstr>
      <vt:lpstr>Sales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</dc:creator>
  <cp:lastModifiedBy>Busisa Nxumalo</cp:lastModifiedBy>
  <dcterms:created xsi:type="dcterms:W3CDTF">2021-05-03T05:05:30Z</dcterms:created>
  <dcterms:modified xsi:type="dcterms:W3CDTF">2025-08-25T09:41:35Z</dcterms:modified>
</cp:coreProperties>
</file>